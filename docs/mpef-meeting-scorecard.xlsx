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orecard" sheetId="2" state="visible" r:id="rId4"/>
    <sheet name="Config" sheetId="3" state="visible" r:id="rId5"/>
    <sheet name="Meeting" sheetId="4" state="visible" r:id="rId6"/>
    <sheet name="Agenda" sheetId="5" state="visible" r:id="rId7"/>
    <sheet name="Participants" sheetId="6" state="visible" r:id="rId8"/>
    <sheet name="Presenters" sheetId="7" state="visible" r:id="rId9"/>
    <sheet name="Interaction" sheetId="8" state="visible" r:id="rId10"/>
    <sheet name="Outcom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<sst xmlns="http://schemas.openxmlformats.org/spreadsheetml/2006/main" count="360" uniqueCount="265">
  <si>
    <t xml:space="preserve">MPEF Meeting Scorecard — auto-calculating workbook</t>
  </si>
  <si>
    <t xml:space="preserve">Meeting Performance Evaluation Framework v1.0 · every score is a formula; nothing is typed in by hand except evidence.</t>
  </si>
  <si>
    <t xml:space="preserve">HOW TO USE</t>
  </si>
  <si>
    <t xml:space="preserve">1. Extract</t>
  </si>
  <si>
    <t xml:space="preserve">Run your AI extraction over the meeting artifacts (transcript, recording, minutes, chat, attendance) — or count manually.</t>
  </si>
  <si>
    <t xml:space="preserve">2. Fill yellow cells</t>
  </si>
  <si>
    <t xml:space="preserve">Enter the extracted values in the YELLOW cells on: Meeting, Agenda, Participants, Presenters, Interaction, Outcomes.</t>
  </si>
  <si>
    <t xml:space="preserve">3. Read Scorecard</t>
  </si>
  <si>
    <t xml:space="preserve">The Scorecard sheet computes every metric, all six dimension scores, the MPI and its band — live.</t>
  </si>
  <si>
    <t xml:space="preserve">4. Calibrate (optional)</t>
  </si>
  <si>
    <t xml:space="preserve">Adjust weights and normalization bands on Config. Freeze them afterwards so meetings stay comparable.</t>
  </si>
  <si>
    <t xml:space="preserve">COLOR LEGEND</t>
  </si>
  <si>
    <t xml:space="preserve">Yellow fill, blue text</t>
  </si>
  <si>
    <t xml:space="preserve">Input cell — enter your extracted evidence here. The workbook ships with one full realistic example meeting.</t>
  </si>
  <si>
    <t xml:space="preserve">Black text</t>
  </si>
  <si>
    <t xml:space="preserve">Calculated — do not overtype. Formulas recalculate automatically.</t>
  </si>
  <si>
    <t xml:space="preserve">Green text</t>
  </si>
  <si>
    <t xml:space="preserve">Pulled from another sheet.</t>
  </si>
  <si>
    <t xml:space="preserve">METHOD NOTES (Excel adaptations of the framework, documented for auditability)</t>
  </si>
  <si>
    <t xml:space="preserve">Speaking balance</t>
  </si>
  <si>
    <t xml:space="preserve">1 − Gini coefficient, computed with the rank formula G = 2·Σ(rank·talk)/(n·Σtalk) − (n+1)/n over attendees. Ties share the lower rank (close approximation).</t>
  </si>
  <si>
    <t xml:space="preserve">Sequence adherence</t>
  </si>
  <si>
    <t xml:space="preserve">Share of agenda items discussed in their planned position (position-match proxy for the framework's LCS measure).</t>
  </si>
  <si>
    <t xml:space="preserve">Speaking pace</t>
  </si>
  <si>
    <t xml:space="preserve">Average words-per-minute deviation from the 130–170 band, per presenter (proxy for per-minute in-band share).</t>
  </si>
  <si>
    <t xml:space="preserve">Times</t>
  </si>
  <si>
    <t xml:space="preserve">Start/end times assume the meeting does not cross midnight.</t>
  </si>
  <si>
    <t xml:space="preserve">Not assessable</t>
  </si>
  <si>
    <t xml:space="preserve">Leave an input blank and its metric drops out; each dimension re-averages over what remains, and the MPI re-weights over assessable dimensions — nothing is ever estimated.</t>
  </si>
  <si>
    <t xml:space="preserve">Source</t>
  </si>
  <si>
    <t xml:space="preserve">All defaults (weights, bands, thresholds) come from the MPEF v1.0 framework document, §2–§3. Values in the example meeting are illustrative, supplied with this workbook.</t>
  </si>
  <si>
    <t xml:space="preserve">Scorecard — dimensions, MPI and band</t>
  </si>
  <si>
    <t xml:space="preserve">All values below are live formulas. Green = pulled from other sheets; bands and weights come from Config.</t>
  </si>
  <si>
    <t xml:space="preserve">Meeting</t>
  </si>
  <si>
    <t xml:space="preserve">MPI</t>
  </si>
  <si>
    <t xml:space="preserve">Date</t>
  </si>
  <si>
    <t xml:space="preserve">0–100, weighted over assessable dimensions</t>
  </si>
  <si>
    <t xml:space="preserve">Metric detail</t>
  </si>
  <si>
    <t xml:space="preserve">Dim</t>
  </si>
  <si>
    <t xml:space="preserve">Metric</t>
  </si>
  <si>
    <t xml:space="preserve">Raw value</t>
  </si>
  <si>
    <t xml:space="preserve">Score 0–100</t>
  </si>
  <si>
    <t xml:space="preserve">D1</t>
  </si>
  <si>
    <t xml:space="preserve">Coverage rate</t>
  </si>
  <si>
    <t xml:space="preserve">Avg time adherence</t>
  </si>
  <si>
    <t xml:space="preserve">Off-agenda ratio</t>
  </si>
  <si>
    <t xml:space="preserve">D2</t>
  </si>
  <si>
    <t xml:space="preserve">Start delay (min)</t>
  </si>
  <si>
    <t xml:space="preserve">Duration overrun</t>
  </si>
  <si>
    <t xml:space="preserve">Dead time ratio</t>
  </si>
  <si>
    <t xml:space="preserve">Decision latency (min)</t>
  </si>
  <si>
    <t xml:space="preserve">D3</t>
  </si>
  <si>
    <t xml:space="preserve">Allocation adherence</t>
  </si>
  <si>
    <t xml:space="preserve">Pace deviation (WPM)</t>
  </si>
  <si>
    <t xml:space="preserve">Filler per 100 words</t>
  </si>
  <si>
    <t xml:space="preserve">Q&amp;A responsiveness</t>
  </si>
  <si>
    <t xml:space="preserve">Response latency (s)</t>
  </si>
  <si>
    <t xml:space="preserve">Monologue ratio</t>
  </si>
  <si>
    <t xml:space="preserve">D4</t>
  </si>
  <si>
    <t xml:space="preserve">Attendance rate</t>
  </si>
  <si>
    <t xml:space="preserve">Avg retention</t>
  </si>
  <si>
    <t xml:space="preserve">Active contributor ratio</t>
  </si>
  <si>
    <t xml:space="preserve">Speaking balance (1−Gini)</t>
  </si>
  <si>
    <t xml:space="preserve">Interaction density (turns/10m)</t>
  </si>
  <si>
    <t xml:space="preserve">D5</t>
  </si>
  <si>
    <t xml:space="preserve">Question resolution rate</t>
  </si>
  <si>
    <t xml:space="preserve">Feedback instances</t>
  </si>
  <si>
    <t xml:space="preserve">Chat per attendee</t>
  </si>
  <si>
    <t xml:space="preserve">Interruptions per 10 min</t>
  </si>
  <si>
    <t xml:space="preserve">D6</t>
  </si>
  <si>
    <t xml:space="preserve">Decision yield</t>
  </si>
  <si>
    <t xml:space="preserve">Action completeness</t>
  </si>
  <si>
    <t xml:space="preserve">Topic resolution (1−unresolved)</t>
  </si>
  <si>
    <t xml:space="preserve">MoM fidelity</t>
  </si>
  <si>
    <t xml:space="preserve">D7</t>
  </si>
  <si>
    <t xml:space="preserve">Prior-action closure (info only)</t>
  </si>
  <si>
    <t xml:space="preserve">Topic recurrence, lower better (info)</t>
  </si>
  <si>
    <t xml:space="preserve">Dimension summary</t>
  </si>
  <si>
    <t xml:space="preserve">Dimension</t>
  </si>
  <si>
    <t xml:space="preserve">Weight</t>
  </si>
  <si>
    <t xml:space="preserve">Score</t>
  </si>
  <si>
    <t xml:space="preserve">Assessable</t>
  </si>
  <si>
    <t xml:space="preserve">Score (num)</t>
  </si>
  <si>
    <t xml:space="preserve">D1  Agenda Discipline</t>
  </si>
  <si>
    <t xml:space="preserve">D2  Time Efficiency</t>
  </si>
  <si>
    <t xml:space="preserve">D3  Presenter Effectiveness</t>
  </si>
  <si>
    <t xml:space="preserve">D4  Participation</t>
  </si>
  <si>
    <t xml:space="preserve">D5  Interaction Quality</t>
  </si>
  <si>
    <t xml:space="preserve">D6  Outcomes</t>
  </si>
  <si>
    <t xml:space="preserve">MPI (weighted, assessable dims)</t>
  </si>
  <si>
    <t xml:space="preserve">Band</t>
  </si>
  <si>
    <t xml:space="preserve">D7 follow-through is longitudinal and informational; it never enters the MPI.</t>
  </si>
  <si>
    <t xml:space="preserve">Configuration</t>
  </si>
  <si>
    <t xml:space="preserve">Dimension weights, MPI bands and normalization bands. Blue cells are editable; freeze after calibration.</t>
  </si>
  <si>
    <t xml:space="preserve">Dimension weights</t>
  </si>
  <si>
    <t xml:space="preserve">Normalization bands</t>
  </si>
  <si>
    <t xml:space="preserve">Score = 100·(value − worst)/(best − worst), clamped to 0–100. Direction is encoded by which end is 'best'.</t>
  </si>
  <si>
    <t xml:space="preserve">D1 Agenda Discipline</t>
  </si>
  <si>
    <t xml:space="preserve">Worst (=0)</t>
  </si>
  <si>
    <t xml:space="preserve">Best (=100)</t>
  </si>
  <si>
    <t xml:space="preserve">Unit / note</t>
  </si>
  <si>
    <t xml:space="preserve">D2 Time Efficiency</t>
  </si>
  <si>
    <t xml:space="preserve">Start delay</t>
  </si>
  <si>
    <t xml:space="preserve">minutes late</t>
  </si>
  <si>
    <t xml:space="preserve">D3 Presenter Effectiveness</t>
  </si>
  <si>
    <t xml:space="preserve">fraction of scheduled length</t>
  </si>
  <si>
    <t xml:space="preserve">D4 Participation</t>
  </si>
  <si>
    <t xml:space="preserve">fraction of meeting</t>
  </si>
  <si>
    <t xml:space="preserve">D5 Interaction Quality</t>
  </si>
  <si>
    <t xml:space="preserve">Decision latency</t>
  </si>
  <si>
    <t xml:space="preserve">minutes from topic open to decision</t>
  </si>
  <si>
    <t xml:space="preserve">D6 Outcomes</t>
  </si>
  <si>
    <t xml:space="preserve">fraction of talk time</t>
  </si>
  <si>
    <t xml:space="preserve">Total</t>
  </si>
  <si>
    <t xml:space="preserve">Pace deviation</t>
  </si>
  <si>
    <t xml:space="preserve">avg WPM outside 130–170 band</t>
  </si>
  <si>
    <t xml:space="preserve">Filler density</t>
  </si>
  <si>
    <t xml:space="preserve">filler words per 100 words</t>
  </si>
  <si>
    <t xml:space="preserve">Response latency</t>
  </si>
  <si>
    <t xml:space="preserve">seconds, question end to answer start</t>
  </si>
  <si>
    <t xml:space="preserve">MPI bands (ascending)</t>
  </si>
  <si>
    <t xml:space="preserve">longest turn / presenter talk time</t>
  </si>
  <si>
    <t xml:space="preserve">Min score</t>
  </si>
  <si>
    <t xml:space="preserve">Interaction density</t>
  </si>
  <si>
    <t xml:space="preserve">speaker turns per 10 min</t>
  </si>
  <si>
    <t xml:space="preserve">Ineffective</t>
  </si>
  <si>
    <t xml:space="preserve">count per meeting</t>
  </si>
  <si>
    <t xml:space="preserve">Needs Improvement</t>
  </si>
  <si>
    <t xml:space="preserve">Chat engagement</t>
  </si>
  <si>
    <t xml:space="preserve">substantive messages per attendee</t>
  </si>
  <si>
    <t xml:space="preserve">Productive</t>
  </si>
  <si>
    <t xml:space="preserve">Interruption rate</t>
  </si>
  <si>
    <t xml:space="preserve">overlaps &gt; 2 s per 10 min</t>
  </si>
  <si>
    <t xml:space="preserve">Highly Productive</t>
  </si>
  <si>
    <t xml:space="preserve">Meeting — metadata &amp; meeting-level evidence</t>
  </si>
  <si>
    <t xml:space="preserve">Yellow = enter. Times assume same-day meetings.</t>
  </si>
  <si>
    <t xml:space="preserve">Inputs (from artifacts / extraction)</t>
  </si>
  <si>
    <t xml:space="preserve">Meeting title</t>
  </si>
  <si>
    <t xml:space="preserve">Weekly Product Review</t>
  </si>
  <si>
    <t xml:space="preserve">Source: calendar invite</t>
  </si>
  <si>
    <t xml:space="preserve">2026-08-12</t>
  </si>
  <si>
    <t xml:space="preserve">Scheduled start</t>
  </si>
  <si>
    <t xml:space="preserve">Scheduled end</t>
  </si>
  <si>
    <t xml:space="preserve">Actual start (first substantive utterance)</t>
  </si>
  <si>
    <t xml:space="preserve">Source: recording / diarization</t>
  </si>
  <si>
    <t xml:space="preserve">Actual end</t>
  </si>
  <si>
    <t xml:space="preserve">Invitees (count)</t>
  </si>
  <si>
    <t xml:space="preserve">Dead time — silence &gt;30s + logistics (min)</t>
  </si>
  <si>
    <t xml:space="preserve">Avg decision latency (min, topic open → decision)</t>
  </si>
  <si>
    <t xml:space="preserve">Off-agenda talk time (min)</t>
  </si>
  <si>
    <t xml:space="preserve">Total talk time, all speakers (min)</t>
  </si>
  <si>
    <t xml:space="preserve">Sum of diarized speaker time; denominator for off-agenda ratio</t>
  </si>
  <si>
    <t xml:space="preserve">Calculated</t>
  </si>
  <si>
    <t xml:space="preserve">Scheduled duration (min)</t>
  </si>
  <si>
    <t xml:space="preserve">Actual duration (min)</t>
  </si>
  <si>
    <t xml:space="preserve">Duration overrun (fraction)</t>
  </si>
  <si>
    <t xml:space="preserve">Agenda — coverage, timing, order, closure</t>
  </si>
  <si>
    <t xml:space="preserve">One row per planned agenda item. Yellow = enter from agenda + extraction. Y/N fields uppercase.</t>
  </si>
  <si>
    <t xml:space="preserve">Item</t>
  </si>
  <si>
    <t xml:space="preserve">Owner</t>
  </si>
  <si>
    <t xml:space="preserve">Planned min</t>
  </si>
  <si>
    <t xml:space="preserve">Planned order</t>
  </si>
  <si>
    <t xml:space="preserve">Actual min</t>
  </si>
  <si>
    <t xml:space="preserve">Actual order</t>
  </si>
  <si>
    <t xml:space="preserve">Substantive? (Y/N)</t>
  </si>
  <si>
    <t xml:space="preserve">Decision expected? (Y/N)</t>
  </si>
  <si>
    <t xml:space="preserve">Decision made? (Y/N)</t>
  </si>
  <si>
    <t xml:space="preserve">Closed w/ decision or action? (Y/N)</t>
  </si>
  <si>
    <t xml:space="preserve">Time adherence</t>
  </si>
  <si>
    <t xml:space="preserve">Order match</t>
  </si>
  <si>
    <t xml:space="preserve">KPI review</t>
  </si>
  <si>
    <t xml:space="preserve">Sara</t>
  </si>
  <si>
    <t xml:space="preserve">Y</t>
  </si>
  <si>
    <t xml:space="preserve">N</t>
  </si>
  <si>
    <t xml:space="preserve">Roadmap update</t>
  </si>
  <si>
    <t xml:space="preserve">Amir</t>
  </si>
  <si>
    <t xml:space="preserve">Launch go/no-go</t>
  </si>
  <si>
    <t xml:space="preserve">Lina</t>
  </si>
  <si>
    <t xml:space="preserve">Budget check</t>
  </si>
  <si>
    <t xml:space="preserve">Omar</t>
  </si>
  <si>
    <t xml:space="preserve">Hiring update</t>
  </si>
  <si>
    <t xml:space="preserve">AOB</t>
  </si>
  <si>
    <t xml:space="preserve">Aggregates</t>
  </si>
  <si>
    <t xml:space="preserve">Items planned</t>
  </si>
  <si>
    <t xml:space="preserve">Items substantively discussed</t>
  </si>
  <si>
    <t xml:space="preserve">Decisions expected</t>
  </si>
  <si>
    <t xml:space="preserve">Decisions made (of expected)</t>
  </si>
  <si>
    <t xml:space="preserve">Unresolved ratio (discussed, not closed)</t>
  </si>
  <si>
    <t xml:space="preserve">Participants — attendance, talk time, contribution mix</t>
  </si>
  <si>
    <t xml:space="preserve">One row per invitee. Counts come from utterance classification.</t>
  </si>
  <si>
    <t xml:space="preserve">Name / ID</t>
  </si>
  <si>
    <t xml:space="preserve">Role</t>
  </si>
  <si>
    <t xml:space="preserve">Present? (Y/N)</t>
  </si>
  <si>
    <t xml:space="preserve">Minutes present</t>
  </si>
  <si>
    <t xml:space="preserve">Talk min</t>
  </si>
  <si>
    <t xml:space="preserve">Questions</t>
  </si>
  <si>
    <t xml:space="preserve">Answers</t>
  </si>
  <si>
    <t xml:space="preserve">Proposals</t>
  </si>
  <si>
    <t xml:space="preserve">Risks raised</t>
  </si>
  <si>
    <t xml:space="preserve">Info shared</t>
  </si>
  <si>
    <t xml:space="preserve">Substantive total</t>
  </si>
  <si>
    <t xml:space="preserve">Active (1/0)</t>
  </si>
  <si>
    <t xml:space="preserve">Talk share</t>
  </si>
  <si>
    <t xml:space="preserve">Rank (helper)</t>
  </si>
  <si>
    <t xml:space="preserve">Organizer</t>
  </si>
  <si>
    <t xml:space="preserve">Presenter</t>
  </si>
  <si>
    <t xml:space="preserve">Participant</t>
  </si>
  <si>
    <t xml:space="preserve">Dana</t>
  </si>
  <si>
    <t xml:space="preserve">Karl</t>
  </si>
  <si>
    <t xml:space="preserve">Mei</t>
  </si>
  <si>
    <t xml:space="preserve">Tomás</t>
  </si>
  <si>
    <t xml:space="preserve">Attendees</t>
  </si>
  <si>
    <t xml:space="preserve">Attendance rate (vs invitees)</t>
  </si>
  <si>
    <t xml:space="preserve">Invitees pulled from Meeting sheet</t>
  </si>
  <si>
    <t xml:space="preserve">Avg retention (time present / duration)</t>
  </si>
  <si>
    <t xml:space="preserve">Gini coefficient (talk time)</t>
  </si>
  <si>
    <t xml:space="preserve">Speaking balance (1 − Gini)</t>
  </si>
  <si>
    <t xml:space="preserve">Presenters — delivery evidence per presenter</t>
  </si>
  <si>
    <t xml:space="preserve">One row per presenter; calculated columns and averages feed dimension D3.</t>
  </si>
  <si>
    <t xml:space="preserve">Words spoken</t>
  </si>
  <si>
    <t xml:space="preserve">Filler words</t>
  </si>
  <si>
    <t xml:space="preserve">Qs received</t>
  </si>
  <si>
    <t xml:space="preserve">Qs answered</t>
  </si>
  <si>
    <t xml:space="preserve">Median resp latency (s)</t>
  </si>
  <si>
    <t xml:space="preserve">Longest turn (min)</t>
  </si>
  <si>
    <t xml:space="preserve">WPM</t>
  </si>
  <si>
    <t xml:space="preserve">Filler /100w</t>
  </si>
  <si>
    <t xml:space="preserve">Q&amp;A rate</t>
  </si>
  <si>
    <t xml:space="preserve">Averages (feed D3)</t>
  </si>
  <si>
    <t xml:space="preserve">Avg allocation adherence</t>
  </si>
  <si>
    <t xml:space="preserve">Avg pace deviation (WPM)</t>
  </si>
  <si>
    <t xml:space="preserve">Avg filler per 100 words</t>
  </si>
  <si>
    <t xml:space="preserve">Avg Q&amp;A responsiveness</t>
  </si>
  <si>
    <t xml:space="preserve">Avg response latency (s)</t>
  </si>
  <si>
    <t xml:space="preserve">Avg monologue ratio</t>
  </si>
  <si>
    <t xml:space="preserve">Interaction — questions, feedback, chat, flow</t>
  </si>
  <si>
    <t xml:space="preserve">Meeting-level counts from utterance classification and audio overlap detection.</t>
  </si>
  <si>
    <t xml:space="preserve">Inputs</t>
  </si>
  <si>
    <t xml:space="preserve">Questions raised</t>
  </si>
  <si>
    <t xml:space="preserve">Questions answered</t>
  </si>
  <si>
    <t xml:space="preserve">Questions deferred ("take offline")</t>
  </si>
  <si>
    <t xml:space="preserve">Questions unanswered</t>
  </si>
  <si>
    <t xml:space="preserve">Substantive chat messages</t>
  </si>
  <si>
    <t xml:space="preserve">Attendee count pulled from Participants sheet</t>
  </si>
  <si>
    <t xml:space="preserve">Interruptions per 10 min (overlaps &gt; 2s)</t>
  </si>
  <si>
    <t xml:space="preserve">Speaker turns per 10 min</t>
  </si>
  <si>
    <t xml:space="preserve">Outcomes — decisions, actions, minutes fidelity, follow-through</t>
  </si>
  <si>
    <t xml:space="preserve">Decision yield &amp; unresolved ratio compute on the Agenda sheet.</t>
  </si>
  <si>
    <t xml:space="preserve">Action items</t>
  </si>
  <si>
    <t xml:space="preserve">Action items (total)</t>
  </si>
  <si>
    <t xml:space="preserve">Actions with owner AND due date</t>
  </si>
  <si>
    <t xml:space="preserve">MoM fidelity (minutes vs transcript)</t>
  </si>
  <si>
    <t xml:space="preserve">Transcript-derived items (decisions + actions)</t>
  </si>
  <si>
    <t xml:space="preserve">Items recorded in the minutes (MoM)</t>
  </si>
  <si>
    <t xml:space="preserve">Matched items</t>
  </si>
  <si>
    <t xml:space="preserve">Precision (matched / MoM)</t>
  </si>
  <si>
    <t xml:space="preserve">Recall (matched / transcript)</t>
  </si>
  <si>
    <t xml:space="preserve">MoM fidelity (avg of precision &amp; recall)</t>
  </si>
  <si>
    <t xml:space="preserve">D7 Follow-through (optional — needs the prior meeting)</t>
  </si>
  <si>
    <t xml:space="preserve">Prior actions due by this meeting</t>
  </si>
  <si>
    <t xml:space="preserve">Prior actions closed or updated</t>
  </si>
  <si>
    <t xml:space="preserve">Prior-action closure rate</t>
  </si>
  <si>
    <t xml:space="preserve">Prior unresolved topics</t>
  </si>
  <si>
    <t xml:space="preserve">…of which reappeared unresolved</t>
  </si>
  <si>
    <t xml:space="preserve">Topic recurrence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</si>
</sst>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"/>
    <numFmt numFmtId="168" formatCode="0.00"/>
    <numFmt numFmtId="169" formatCode="hh:mm"/>
    <numFmt numFmtId="170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A4A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2"/>
      <color rgb="FF1E2A4A"/>
      <name val="Arial"/>
      <family val="0"/>
      <charset val="1"/>
    </font>
    <font>
      <b val="true"/>
      <sz val="10"/>
      <color rgb="FF1E2A4A"/>
      <name val="Arial"/>
      <family val="0"/>
      <charset val="1"/>
    </font>
    <font>
      <sz val="10"/>
      <color rgb="FF1D293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667085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28"/>
      <color rgb="FF1E2A4A"/>
      <name val="Arial"/>
      <family val="0"/>
      <charset val="1"/>
    </font>
    <font>
      <b val="true"/>
      <sz val="13"/>
      <color rgb="FF0E938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6708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A4A"/>
        <bgColor rgb="FF1D2939"/>
      </patternFill>
    </fill>
    <fill>
      <patternFill patternType="solid">
        <fgColor rgb="FFFFF2B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2"/>
      </left>
      <right style="thin">
        <color rgb="FFD5DAE2"/>
      </right>
      <top style="thin">
        <color rgb="FFD5DAE2"/>
      </top>
      <bottom style="thin">
        <color rgb="FFD5DA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384"/>
      <rgbColor rgb="FFD9D9D9"/>
      <rgbColor rgb="FF878787"/>
      <rgbColor rgb="FF9999FF"/>
      <rgbColor rgb="FF993366"/>
      <rgbColor rgb="FFFFF2B8"/>
      <rgbColor rgb="FFF9F9F9"/>
      <rgbColor rgb="FF660066"/>
      <rgbColor rgb="FFFF8080"/>
      <rgbColor rgb="FF0066CC"/>
      <rgbColor rgb="FFD5DA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7085"/>
      <rgbColor rgb="FF969696"/>
      <rgbColor rgb="FF1E2A4A"/>
      <rgbColor rgb="FF339966"/>
      <rgbColor rgb="FF003300"/>
      <rgbColor rgb="FF333300"/>
      <rgbColor rgb="FF993300"/>
      <rgbColor rgb="FF993366"/>
      <rgbColor rgb="FF333399"/>
      <rgbColor rgb="FF1D29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Dimension scores (0–100)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Scorecard!E42</c:f>
              <c:strCache>
                <c:ptCount val="1"/>
                <c:pt idx="0">
                  <c:v>Score (num)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Scorecard!$A$43:$A$48</c:f>
              <c:strCache>
                <c:ptCount val="6"/>
                <c:pt idx="0">
                  <c:v>D1  Agenda Discipline</c:v>
                </c:pt>
                <c:pt idx="1">
                  <c:v>D2  Time Efficiency</c:v>
                </c:pt>
                <c:pt idx="2">
                  <c:v>D3  Presenter Effectiveness</c:v>
                </c:pt>
                <c:pt idx="3">
                  <c:v>D4  Participation</c:v>
                </c:pt>
                <c:pt idx="4">
                  <c:v>D5  Interaction Quality</c:v>
                </c:pt>
                <c:pt idx="5">
                  <c:v>D6  Outcomes</c:v>
                </c:pt>
              </c:strCache>
            </c:strRef>
          </c:cat>
          <c:val>
            <c:numRef>
              <c:f>Scorecard!$E$43:$E$48</c:f>
              <c:numCache>
                <c:formatCode>0.0</c:formatCode>
                <c:ptCount val="6"/>
                <c:pt idx="0">
                  <c:v>68.246336996337</c:v>
                </c:pt>
                <c:pt idx="1">
                  <c:v>78.542328042328</c:v>
                </c:pt>
                <c:pt idx="2">
                  <c:v>81.6375851244272</c:v>
                </c:pt>
                <c:pt idx="3">
                  <c:v>76.5775335775336</c:v>
                </c:pt>
                <c:pt idx="4">
                  <c:v>75.6628787878788</c:v>
                </c:pt>
                <c:pt idx="5">
                  <c:v>83.5168650793651</c:v>
                </c:pt>
              </c:numCache>
            </c:numRef>
          </c:val>
        </c:ser>
        <c:gapWidth val="150"/>
        <c:overlap val="0"/>
        <c:axId val="27516306"/>
        <c:axId val="58879632"/>
      </c:barChart>
      <c:catAx>
        <c:axId val="27516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79632"/>
        <c:crosses val="autoZero"/>
        <c:auto val="1"/>
        <c:lblAlgn val="ctr"/>
        <c:lblOffset val="100"/>
        <c:noMultiLvlLbl val="0"/>
      </c:catAx>
      <c:valAx>
        <c:axId val="58879632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16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82080</xdr:rowOff>
    </xdr:from>
    <xdr:to>
      <xdr:col>12</xdr:col>
      <xdr:colOff>27720</xdr:colOff>
      <xdr:row>23</xdr:row>
      <xdr:rowOff>93600</xdr:rowOff>
    </xdr:to>
    <xdr:graphicFrame>
      <xdr:nvGraphicFramePr>
        <xdr:cNvPr id="0" name="Chart 1"/>
        <xdr:cNvGraphicFramePr/>
      </xdr:nvGraphicFramePr>
      <xdr:xfrm>
        <a:off x="5897880" y="171468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4" t="s">
        <v>3</v>
      </c>
      <c r="C5" s="5" t="s">
        <v>4</v>
      </c>
    </row>
    <row r="6" customFormat="false" ht="23.85" hidden="false" customHeight="false" outlineLevel="0" collapsed="false">
      <c r="B6" s="4" t="s">
        <v>5</v>
      </c>
      <c r="C6" s="5" t="s">
        <v>6</v>
      </c>
    </row>
    <row r="7" customFormat="false" ht="15" hidden="false" customHeight="false" outlineLevel="0" collapsed="false">
      <c r="B7" s="4" t="s">
        <v>7</v>
      </c>
      <c r="C7" s="5" t="s">
        <v>8</v>
      </c>
    </row>
    <row r="8" customFormat="false" ht="15" hidden="false" customHeight="false" outlineLevel="0" collapsed="false">
      <c r="B8" s="4" t="s">
        <v>9</v>
      </c>
      <c r="C8" s="5" t="s">
        <v>10</v>
      </c>
    </row>
    <row r="10" customFormat="false" ht="15" hidden="false" customHeight="false" outlineLevel="0" collapsed="false">
      <c r="B10" s="3" t="s">
        <v>11</v>
      </c>
    </row>
    <row r="11" customFormat="false" ht="15" hidden="false" customHeight="false" outlineLevel="0" collapsed="false">
      <c r="B11" s="4" t="s">
        <v>12</v>
      </c>
      <c r="C11" s="5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3" customFormat="false" ht="15" hidden="false" customHeight="false" outlineLevel="0" collapsed="false">
      <c r="B13" s="4" t="s">
        <v>16</v>
      </c>
      <c r="C13" s="5" t="s">
        <v>17</v>
      </c>
    </row>
    <row r="15" customFormat="false" ht="15" hidden="false" customHeight="false" outlineLevel="0" collapsed="false">
      <c r="B15" s="3" t="s">
        <v>18</v>
      </c>
    </row>
    <row r="16" customFormat="false" ht="23.85" hidden="false" customHeight="false" outlineLevel="0" collapsed="false">
      <c r="B16" s="4" t="s">
        <v>19</v>
      </c>
      <c r="C16" s="5" t="s">
        <v>20</v>
      </c>
    </row>
    <row r="17" customFormat="false" ht="15" hidden="false" customHeight="false" outlineLevel="0" collapsed="false">
      <c r="B17" s="4" t="s">
        <v>21</v>
      </c>
      <c r="C17" s="5" t="s">
        <v>22</v>
      </c>
    </row>
    <row r="18" customFormat="false" ht="15" hidden="false" customHeight="false" outlineLevel="0" collapsed="false">
      <c r="B18" s="4" t="s">
        <v>23</v>
      </c>
      <c r="C18" s="5" t="s">
        <v>24</v>
      </c>
    </row>
    <row r="19" customFormat="false" ht="15" hidden="false" customHeight="false" outlineLevel="0" collapsed="false">
      <c r="B19" s="4" t="s">
        <v>25</v>
      </c>
      <c r="C19" s="5" t="s">
        <v>26</v>
      </c>
    </row>
    <row r="20" customFormat="false" ht="23.85" hidden="false" customHeight="false" outlineLevel="0" collapsed="false">
      <c r="B20" s="4" t="s">
        <v>27</v>
      </c>
      <c r="C20" s="5" t="s">
        <v>28</v>
      </c>
    </row>
    <row r="21" customFormat="false" ht="23.85" hidden="false" customHeight="false" outlineLevel="0" collapsed="false">
      <c r="B21" s="4" t="s">
        <v>29</v>
      </c>
      <c r="C21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14" min="7" style="0" width="11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6" t="s">
        <v>33</v>
      </c>
      <c r="B4" s="7" t="str">
        <f aca="false">Meeting!B5</f>
        <v>Weekly Product Review</v>
      </c>
      <c r="D4" s="8" t="s">
        <v>34</v>
      </c>
    </row>
    <row r="5" customFormat="false" ht="33.85" hidden="false" customHeight="false" outlineLevel="0" collapsed="false">
      <c r="A5" s="6" t="s">
        <v>35</v>
      </c>
      <c r="B5" s="9" t="str">
        <f aca="false">Meeting!B6</f>
        <v>2026-08-12</v>
      </c>
      <c r="D5" s="10" t="n">
        <f aca="false">IF(C49="","",ROUND(C49,0))</f>
        <v>77</v>
      </c>
      <c r="E5" s="11" t="str">
        <f aca="false">IF(C50="","",C50)</f>
        <v>Productive</v>
      </c>
    </row>
    <row r="6" customFormat="false" ht="15" hidden="false" customHeight="false" outlineLevel="0" collapsed="false">
      <c r="D6" s="2" t="s">
        <v>36</v>
      </c>
    </row>
    <row r="9" customFormat="false" ht="15" hidden="false" customHeight="false" outlineLevel="0" collapsed="false">
      <c r="A9" s="3" t="s">
        <v>37</v>
      </c>
    </row>
    <row r="10" customFormat="false" ht="15" hidden="false" customHeight="false" outlineLevel="0" collapsed="false">
      <c r="A10" s="12" t="s">
        <v>38</v>
      </c>
      <c r="B10" s="12" t="s">
        <v>39</v>
      </c>
      <c r="C10" s="12" t="s">
        <v>40</v>
      </c>
      <c r="D10" s="12" t="s">
        <v>41</v>
      </c>
    </row>
    <row r="11" customFormat="false" ht="15" hidden="false" customHeight="false" outlineLevel="0" collapsed="false">
      <c r="A11" s="13" t="s">
        <v>42</v>
      </c>
      <c r="B11" s="6" t="s">
        <v>43</v>
      </c>
      <c r="C11" s="14" t="n">
        <f aca="false">Agenda!B21</f>
        <v>0.833333333333333</v>
      </c>
      <c r="D11" s="15" t="n">
        <f aca="false">IF(C11="","",MAX(0,MIN(100,C11*100)))</f>
        <v>83.3333333333333</v>
      </c>
    </row>
    <row r="12" customFormat="false" ht="15" hidden="false" customHeight="false" outlineLevel="0" collapsed="false">
      <c r="A12" s="13" t="s">
        <v>42</v>
      </c>
      <c r="B12" s="6" t="s">
        <v>44</v>
      </c>
      <c r="C12" s="14" t="n">
        <f aca="false">Agenda!B22</f>
        <v>0.583333333333333</v>
      </c>
      <c r="D12" s="15" t="n">
        <f aca="false">IF(C12="","",MAX(0,MIN(100,C12*100)))</f>
        <v>58.3333333333333</v>
      </c>
    </row>
    <row r="13" customFormat="false" ht="15" hidden="false" customHeight="false" outlineLevel="0" collapsed="false">
      <c r="A13" s="13" t="s">
        <v>42</v>
      </c>
      <c r="B13" s="6" t="s">
        <v>21</v>
      </c>
      <c r="C13" s="14" t="n">
        <f aca="false">Agenda!B23</f>
        <v>0.5</v>
      </c>
      <c r="D13" s="15" t="n">
        <f aca="false">IF(C13="","",MAX(0,MIN(100,C13*100)))</f>
        <v>50</v>
      </c>
    </row>
    <row r="14" customFormat="false" ht="15" hidden="false" customHeight="false" outlineLevel="0" collapsed="false">
      <c r="A14" s="13" t="s">
        <v>42</v>
      </c>
      <c r="B14" s="6" t="s">
        <v>45</v>
      </c>
      <c r="C14" s="14" t="n">
        <f aca="false">Meeting!B24</f>
        <v>0.115384615384615</v>
      </c>
      <c r="D14" s="15" t="n">
        <f aca="false">IF(C14="","",MAX(0,MIN(100,100*(C14-Config!$E$11)/(Config!$F$11-Config!$E$11))))</f>
        <v>81.3186813186813</v>
      </c>
    </row>
    <row r="15" customFormat="false" ht="15" hidden="false" customHeight="false" outlineLevel="0" collapsed="false">
      <c r="A15" s="13" t="s">
        <v>46</v>
      </c>
      <c r="B15" s="6" t="s">
        <v>47</v>
      </c>
      <c r="C15" s="16" t="n">
        <f aca="false">Meeting!B21</f>
        <v>4</v>
      </c>
      <c r="D15" s="15" t="n">
        <f aca="false">IF(C15="","",MAX(0,MIN(100,100*(C15-Config!$E$7)/(Config!$F$7-Config!$E$7))))</f>
        <v>73.3333333333333</v>
      </c>
    </row>
    <row r="16" customFormat="false" ht="15" hidden="false" customHeight="false" outlineLevel="0" collapsed="false">
      <c r="A16" s="13" t="s">
        <v>46</v>
      </c>
      <c r="B16" s="6" t="s">
        <v>48</v>
      </c>
      <c r="C16" s="14" t="n">
        <f aca="false">Meeting!B22</f>
        <v>0.0500000000000001</v>
      </c>
      <c r="D16" s="15" t="n">
        <f aca="false">IF(C16="","",MAX(0,MIN(100,100*(C16-Config!$E$8)/(Config!$F$8-Config!$E$8))))</f>
        <v>90</v>
      </c>
    </row>
    <row r="17" customFormat="false" ht="15" hidden="false" customHeight="false" outlineLevel="0" collapsed="false">
      <c r="A17" s="13" t="s">
        <v>46</v>
      </c>
      <c r="B17" s="6" t="s">
        <v>49</v>
      </c>
      <c r="C17" s="14" t="n">
        <f aca="false">Meeting!B23</f>
        <v>0.0634920634920635</v>
      </c>
      <c r="D17" s="15" t="n">
        <f aca="false">IF(C17="","",MAX(0,MIN(100,100*(C17-Config!$E$9)/(Config!$F$9-Config!$E$9))))</f>
        <v>78.8359788359788</v>
      </c>
    </row>
    <row r="18" customFormat="false" ht="15" hidden="false" customHeight="false" outlineLevel="0" collapsed="false">
      <c r="A18" s="13" t="s">
        <v>46</v>
      </c>
      <c r="B18" s="6" t="s">
        <v>50</v>
      </c>
      <c r="C18" s="16" t="n">
        <f aca="false">Meeting!B13</f>
        <v>12</v>
      </c>
      <c r="D18" s="15" t="n">
        <f aca="false">IF(C18="","",MAX(0,MIN(100,100*(C18-Config!$E$10)/(Config!$F$10-Config!$E$10))))</f>
        <v>72</v>
      </c>
    </row>
    <row r="19" customFormat="false" ht="15" hidden="false" customHeight="false" outlineLevel="0" collapsed="false">
      <c r="A19" s="13" t="s">
        <v>51</v>
      </c>
      <c r="B19" s="6" t="s">
        <v>52</v>
      </c>
      <c r="C19" s="14" t="n">
        <f aca="false">Presenters!B13</f>
        <v>0.95</v>
      </c>
      <c r="D19" s="15" t="n">
        <f aca="false">IF(C19="","",MAX(0,MIN(100,C19*100)))</f>
        <v>95</v>
      </c>
    </row>
    <row r="20" customFormat="false" ht="15" hidden="false" customHeight="false" outlineLevel="0" collapsed="false">
      <c r="A20" s="13" t="s">
        <v>51</v>
      </c>
      <c r="B20" s="6" t="s">
        <v>53</v>
      </c>
      <c r="C20" s="16" t="n">
        <f aca="false">Presenters!B14</f>
        <v>10</v>
      </c>
      <c r="D20" s="15" t="n">
        <f aca="false">IF(C20="","",MAX(0,MIN(100,100*(C20-Config!$E$12)/(Config!$F$12-Config!$E$12))))</f>
        <v>75</v>
      </c>
    </row>
    <row r="21" customFormat="false" ht="15" hidden="false" customHeight="false" outlineLevel="0" collapsed="false">
      <c r="A21" s="13" t="s">
        <v>51</v>
      </c>
      <c r="B21" s="6" t="s">
        <v>54</v>
      </c>
      <c r="C21" s="16" t="n">
        <f aca="false">Presenters!B15</f>
        <v>2.42105263157895</v>
      </c>
      <c r="D21" s="15" t="n">
        <f aca="false">IF(C21="","",MAX(0,MIN(100,100*(C21-Config!$E$13)/(Config!$F$13-Config!$E$13))))</f>
        <v>79.6992481203008</v>
      </c>
    </row>
    <row r="22" customFormat="false" ht="15" hidden="false" customHeight="false" outlineLevel="0" collapsed="false">
      <c r="A22" s="13" t="s">
        <v>51</v>
      </c>
      <c r="B22" s="6" t="s">
        <v>55</v>
      </c>
      <c r="C22" s="14" t="n">
        <f aca="false">Presenters!B16</f>
        <v>0.875</v>
      </c>
      <c r="D22" s="15" t="n">
        <f aca="false">IF(C22="","",MAX(0,MIN(100,C22*100)))</f>
        <v>87.5</v>
      </c>
    </row>
    <row r="23" customFormat="false" ht="15" hidden="false" customHeight="false" outlineLevel="0" collapsed="false">
      <c r="A23" s="13" t="s">
        <v>51</v>
      </c>
      <c r="B23" s="6" t="s">
        <v>56</v>
      </c>
      <c r="C23" s="16" t="n">
        <f aca="false">Presenters!B17</f>
        <v>11.5</v>
      </c>
      <c r="D23" s="15" t="n">
        <f aca="false">IF(C23="","",MAX(0,MIN(100,100*(C23-Config!$E$14)/(Config!$F$14-Config!$E$14))))</f>
        <v>88.1818181818182</v>
      </c>
    </row>
    <row r="24" customFormat="false" ht="15" hidden="false" customHeight="false" outlineLevel="0" collapsed="false">
      <c r="A24" s="13" t="s">
        <v>51</v>
      </c>
      <c r="B24" s="6" t="s">
        <v>57</v>
      </c>
      <c r="C24" s="14" t="n">
        <f aca="false">Presenters!B18</f>
        <v>0.477777777777778</v>
      </c>
      <c r="D24" s="15" t="n">
        <f aca="false">IF(C24="","",MAX(0,MIN(100,100*(C24-Config!$E$15)/(Config!$F$15-Config!$E$15))))</f>
        <v>64.4444444444444</v>
      </c>
    </row>
    <row r="25" customFormat="false" ht="15" hidden="false" customHeight="false" outlineLevel="0" collapsed="false">
      <c r="A25" s="13" t="s">
        <v>58</v>
      </c>
      <c r="B25" s="6" t="s">
        <v>59</v>
      </c>
      <c r="C25" s="14" t="n">
        <f aca="false">Participants!B23</f>
        <v>0.8</v>
      </c>
      <c r="D25" s="15" t="n">
        <f aca="false">IF(C25="","",MAX(0,MIN(100,C25*100)))</f>
        <v>80</v>
      </c>
    </row>
    <row r="26" customFormat="false" ht="15" hidden="false" customHeight="false" outlineLevel="0" collapsed="false">
      <c r="A26" s="13" t="s">
        <v>58</v>
      </c>
      <c r="B26" s="6" t="s">
        <v>60</v>
      </c>
      <c r="C26" s="14" t="n">
        <f aca="false">Participants!B24</f>
        <v>0.938492063492063</v>
      </c>
      <c r="D26" s="15" t="n">
        <f aca="false">IF(C26="","",MAX(0,MIN(100,C26*100)))</f>
        <v>93.8492063492063</v>
      </c>
    </row>
    <row r="27" customFormat="false" ht="15" hidden="false" customHeight="false" outlineLevel="0" collapsed="false">
      <c r="A27" s="13" t="s">
        <v>58</v>
      </c>
      <c r="B27" s="6" t="s">
        <v>61</v>
      </c>
      <c r="C27" s="14" t="n">
        <f aca="false">Participants!B25</f>
        <v>0.875</v>
      </c>
      <c r="D27" s="15" t="n">
        <f aca="false">IF(C27="","",MAX(0,MIN(100,C27*100)))</f>
        <v>87.5</v>
      </c>
    </row>
    <row r="28" customFormat="false" ht="15" hidden="false" customHeight="false" outlineLevel="0" collapsed="false">
      <c r="A28" s="13" t="s">
        <v>58</v>
      </c>
      <c r="B28" s="6" t="s">
        <v>62</v>
      </c>
      <c r="C28" s="14" t="n">
        <f aca="false">Participants!B27</f>
        <v>0.615384615384615</v>
      </c>
      <c r="D28" s="15" t="n">
        <f aca="false">IF(C28="","",MAX(0,MIN(100,C28*100)))</f>
        <v>61.5384615384615</v>
      </c>
    </row>
    <row r="29" customFormat="false" ht="15" hidden="false" customHeight="false" outlineLevel="0" collapsed="false">
      <c r="A29" s="13" t="s">
        <v>58</v>
      </c>
      <c r="B29" s="6" t="s">
        <v>63</v>
      </c>
      <c r="C29" s="16" t="n">
        <f aca="false">Interaction!B14</f>
        <v>8</v>
      </c>
      <c r="D29" s="15" t="n">
        <f aca="false">IF(C29="","",MAX(0,MIN(100,100*(C29-Config!$E$16)/(Config!$F$16-Config!$E$16))))</f>
        <v>60</v>
      </c>
    </row>
    <row r="30" customFormat="false" ht="15" hidden="false" customHeight="false" outlineLevel="0" collapsed="false">
      <c r="A30" s="13" t="s">
        <v>64</v>
      </c>
      <c r="B30" s="6" t="s">
        <v>65</v>
      </c>
      <c r="C30" s="14" t="n">
        <f aca="false">Interaction!B9</f>
        <v>0.833333333333333</v>
      </c>
      <c r="D30" s="15" t="n">
        <f aca="false">IF(C30="","",MAX(0,MIN(100,C30*100)))</f>
        <v>83.3333333333333</v>
      </c>
    </row>
    <row r="31" customFormat="false" ht="15" hidden="false" customHeight="false" outlineLevel="0" collapsed="false">
      <c r="A31" s="13" t="s">
        <v>64</v>
      </c>
      <c r="B31" s="6" t="s">
        <v>66</v>
      </c>
      <c r="C31" s="17" t="n">
        <f aca="false">Interaction!B10</f>
        <v>6</v>
      </c>
      <c r="D31" s="15" t="n">
        <f aca="false">IF(C31="","",MAX(0,MIN(100,100*(C31-Config!$E$17)/(Config!$F$17-Config!$E$17))))</f>
        <v>75</v>
      </c>
    </row>
    <row r="32" customFormat="false" ht="15" hidden="false" customHeight="false" outlineLevel="0" collapsed="false">
      <c r="A32" s="13" t="s">
        <v>64</v>
      </c>
      <c r="B32" s="6" t="s">
        <v>67</v>
      </c>
      <c r="C32" s="18" t="n">
        <f aca="false">Interaction!B12</f>
        <v>0.625</v>
      </c>
      <c r="D32" s="15" t="n">
        <f aca="false">IF(C32="","",MAX(0,MIN(100,100*(C32-Config!$E$18)/(Config!$F$18-Config!$E$18))))</f>
        <v>62.5</v>
      </c>
    </row>
    <row r="33" customFormat="false" ht="15" hidden="false" customHeight="false" outlineLevel="0" collapsed="false">
      <c r="A33" s="13" t="s">
        <v>64</v>
      </c>
      <c r="B33" s="6" t="s">
        <v>68</v>
      </c>
      <c r="C33" s="16" t="n">
        <f aca="false">Interaction!B13</f>
        <v>1.5</v>
      </c>
      <c r="D33" s="15" t="n">
        <f aca="false">IF(C33="","",MAX(0,MIN(100,100*(C33-Config!$E$19)/(Config!$F$19-Config!$E$19))))</f>
        <v>81.8181818181818</v>
      </c>
    </row>
    <row r="34" customFormat="false" ht="15" hidden="false" customHeight="false" outlineLevel="0" collapsed="false">
      <c r="A34" s="13" t="s">
        <v>69</v>
      </c>
      <c r="B34" s="6" t="s">
        <v>70</v>
      </c>
      <c r="C34" s="14" t="n">
        <f aca="false">Agenda!B26</f>
        <v>1</v>
      </c>
      <c r="D34" s="15" t="n">
        <f aca="false">IF(C34="","",MAX(0,MIN(100,C34*100)))</f>
        <v>100</v>
      </c>
    </row>
    <row r="35" customFormat="false" ht="15" hidden="false" customHeight="false" outlineLevel="0" collapsed="false">
      <c r="A35" s="13" t="s">
        <v>69</v>
      </c>
      <c r="B35" s="6" t="s">
        <v>71</v>
      </c>
      <c r="C35" s="14" t="n">
        <f aca="false">Outcomes!B7</f>
        <v>0.714285714285714</v>
      </c>
      <c r="D35" s="15" t="n">
        <f aca="false">IF(C35="","",MAX(0,MIN(100,C35*100)))</f>
        <v>71.4285714285714</v>
      </c>
    </row>
    <row r="36" customFormat="false" ht="15" hidden="false" customHeight="false" outlineLevel="0" collapsed="false">
      <c r="A36" s="13" t="s">
        <v>69</v>
      </c>
      <c r="B36" s="6" t="s">
        <v>72</v>
      </c>
      <c r="C36" s="14" t="n">
        <f aca="false">Agenda!B27</f>
        <v>0.2</v>
      </c>
      <c r="D36" s="15" t="n">
        <f aca="false">IF(C36="","",MAX(0,MIN(100,(1-C36)*100)))</f>
        <v>80</v>
      </c>
    </row>
    <row r="37" customFormat="false" ht="15" hidden="false" customHeight="false" outlineLevel="0" collapsed="false">
      <c r="A37" s="13" t="s">
        <v>69</v>
      </c>
      <c r="B37" s="6" t="s">
        <v>73</v>
      </c>
      <c r="C37" s="14" t="n">
        <f aca="false">Outcomes!B15</f>
        <v>0.826388888888889</v>
      </c>
      <c r="D37" s="15" t="n">
        <f aca="false">IF(C37="","",MAX(0,MIN(100,C37*100)))</f>
        <v>82.6388888888889</v>
      </c>
    </row>
    <row r="38" customFormat="false" ht="15" hidden="false" customHeight="false" outlineLevel="0" collapsed="false">
      <c r="A38" s="13" t="s">
        <v>74</v>
      </c>
      <c r="B38" s="6" t="s">
        <v>75</v>
      </c>
      <c r="C38" s="14" t="n">
        <f aca="false">Outcomes!B20</f>
        <v>0.666666666666667</v>
      </c>
      <c r="D38" s="15" t="n">
        <f aca="false">IF(C38="","",MAX(0,MIN(100,C38*100)))</f>
        <v>66.6666666666667</v>
      </c>
    </row>
    <row r="39" customFormat="false" ht="15" hidden="false" customHeight="false" outlineLevel="0" collapsed="false">
      <c r="A39" s="13" t="s">
        <v>74</v>
      </c>
      <c r="B39" s="6" t="s">
        <v>76</v>
      </c>
      <c r="C39" s="14" t="n">
        <f aca="false">Outcomes!B23</f>
        <v>0.333333333333333</v>
      </c>
      <c r="D39" s="15" t="n">
        <f aca="false">IF(C39="","",MAX(0,MIN(100,(1-C39)*100)))</f>
        <v>66.6666666666667</v>
      </c>
    </row>
    <row r="41" customFormat="false" ht="15" hidden="false" customHeight="false" outlineLevel="0" collapsed="false">
      <c r="A41" s="3" t="s">
        <v>77</v>
      </c>
    </row>
    <row r="42" customFormat="false" ht="23.85" hidden="false" customHeight="false" outlineLevel="0" collapsed="false">
      <c r="A42" s="12" t="s">
        <v>78</v>
      </c>
      <c r="B42" s="12" t="s">
        <v>79</v>
      </c>
      <c r="C42" s="12" t="s">
        <v>80</v>
      </c>
      <c r="D42" s="12" t="s">
        <v>81</v>
      </c>
      <c r="E42" s="12" t="s">
        <v>82</v>
      </c>
    </row>
    <row r="43" customFormat="false" ht="15" hidden="false" customHeight="false" outlineLevel="0" collapsed="false">
      <c r="A43" s="6" t="s">
        <v>83</v>
      </c>
      <c r="B43" s="17" t="n">
        <f aca="false">Config!B6</f>
        <v>20</v>
      </c>
      <c r="C43" s="19" t="n">
        <f aca="false">IFERROR(AVERAGE(D11:D14),"")</f>
        <v>68.246336996337</v>
      </c>
      <c r="D43" s="20" t="n">
        <f aca="false">IF(COUNT(D11:D14)&gt;0,1,0)</f>
        <v>1</v>
      </c>
      <c r="E43" s="21" t="n">
        <f aca="false">IF(D43=0,0,C43)</f>
        <v>68.246336996337</v>
      </c>
    </row>
    <row r="44" customFormat="false" ht="15" hidden="false" customHeight="false" outlineLevel="0" collapsed="false">
      <c r="A44" s="6" t="s">
        <v>84</v>
      </c>
      <c r="B44" s="17" t="n">
        <f aca="false">Config!B7</f>
        <v>15</v>
      </c>
      <c r="C44" s="19" t="n">
        <f aca="false">IFERROR(AVERAGE(D15:D18),"")</f>
        <v>78.542328042328</v>
      </c>
      <c r="D44" s="20" t="n">
        <f aca="false">IF(COUNT(D15:D18)&gt;0,1,0)</f>
        <v>1</v>
      </c>
      <c r="E44" s="21" t="n">
        <f aca="false">IF(D44=0,0,C44)</f>
        <v>78.542328042328</v>
      </c>
    </row>
    <row r="45" customFormat="false" ht="15" hidden="false" customHeight="false" outlineLevel="0" collapsed="false">
      <c r="A45" s="6" t="s">
        <v>85</v>
      </c>
      <c r="B45" s="17" t="n">
        <f aca="false">Config!B8</f>
        <v>20</v>
      </c>
      <c r="C45" s="19" t="n">
        <f aca="false">IFERROR(AVERAGE(D19:D24),"")</f>
        <v>81.6375851244272</v>
      </c>
      <c r="D45" s="20" t="n">
        <f aca="false">IF(COUNT(D19:D24)&gt;0,1,0)</f>
        <v>1</v>
      </c>
      <c r="E45" s="21" t="n">
        <f aca="false">IF(D45=0,0,C45)</f>
        <v>81.6375851244272</v>
      </c>
    </row>
    <row r="46" customFormat="false" ht="15" hidden="false" customHeight="false" outlineLevel="0" collapsed="false">
      <c r="A46" s="6" t="s">
        <v>86</v>
      </c>
      <c r="B46" s="17" t="n">
        <f aca="false">Config!B9</f>
        <v>20</v>
      </c>
      <c r="C46" s="19" t="n">
        <f aca="false">IFERROR(AVERAGE(D25:D29),"")</f>
        <v>76.5775335775336</v>
      </c>
      <c r="D46" s="20" t="n">
        <f aca="false">IF(COUNT(D25:D29)&gt;0,1,0)</f>
        <v>1</v>
      </c>
      <c r="E46" s="21" t="n">
        <f aca="false">IF(D46=0,0,C46)</f>
        <v>76.5775335775336</v>
      </c>
    </row>
    <row r="47" customFormat="false" ht="15" hidden="false" customHeight="false" outlineLevel="0" collapsed="false">
      <c r="A47" s="6" t="s">
        <v>87</v>
      </c>
      <c r="B47" s="17" t="n">
        <f aca="false">Config!B10</f>
        <v>10</v>
      </c>
      <c r="C47" s="19" t="n">
        <f aca="false">IFERROR(AVERAGE(D30:D33),"")</f>
        <v>75.6628787878788</v>
      </c>
      <c r="D47" s="20" t="n">
        <f aca="false">IF(COUNT(D30:D33)&gt;0,1,0)</f>
        <v>1</v>
      </c>
      <c r="E47" s="21" t="n">
        <f aca="false">IF(D47=0,0,C47)</f>
        <v>75.6628787878788</v>
      </c>
    </row>
    <row r="48" customFormat="false" ht="15" hidden="false" customHeight="false" outlineLevel="0" collapsed="false">
      <c r="A48" s="6" t="s">
        <v>88</v>
      </c>
      <c r="B48" s="17" t="n">
        <f aca="false">Config!B11</f>
        <v>15</v>
      </c>
      <c r="C48" s="19" t="n">
        <f aca="false">IFERROR(AVERAGE(D34:D37),"")</f>
        <v>83.5168650793651</v>
      </c>
      <c r="D48" s="20" t="n">
        <f aca="false">IF(COUNT(D34:D37)&gt;0,1,0)</f>
        <v>1</v>
      </c>
      <c r="E48" s="21" t="n">
        <f aca="false">IF(D48=0,0,C48)</f>
        <v>83.5168650793651</v>
      </c>
    </row>
    <row r="49" customFormat="false" ht="15" hidden="false" customHeight="false" outlineLevel="0" collapsed="false">
      <c r="A49" s="22" t="s">
        <v>89</v>
      </c>
      <c r="C49" s="19" t="n">
        <f aca="false">IFERROR(SUMPRODUCT(B43:B48,E43:E48,D43:D48)/SUMPRODUCT(B43:B48,D43:D48),"")</f>
        <v>77.1674579867014</v>
      </c>
    </row>
    <row r="50" customFormat="false" ht="15" hidden="false" customHeight="false" outlineLevel="0" collapsed="false">
      <c r="A50" s="22" t="s">
        <v>90</v>
      </c>
      <c r="C50" s="23" t="str">
        <f aca="false">IF(C49="","",LOOKUP(C49,Config!$A$17:$A$20,Config!$B$17:$B$20))</f>
        <v>Productive</v>
      </c>
    </row>
    <row r="52" customFormat="false" ht="15" hidden="false" customHeight="false" outlineLevel="0" collapsed="false">
      <c r="A52" s="2" t="s">
        <v>91</v>
      </c>
    </row>
  </sheetData>
  <conditionalFormatting sqref="D11:D39">
    <cfRule type="colorScale" priority="2">
      <colorScale>
        <cfvo type="num" val="0"/>
        <cfvo type="num" val="70"/>
        <cfvo type="num" val="100"/>
        <color rgb="FFC43D3D"/>
        <color rgb="FFF2A93B"/>
        <color rgb="FF2E9E63"/>
      </colorScale>
    </cfRule>
  </conditionalFormatting>
  <conditionalFormatting sqref="C43:C48">
    <cfRule type="colorScale" priority="3">
      <colorScale>
        <cfvo type="num" val="0"/>
        <cfvo type="num" val="70"/>
        <cfvo type="num" val="100"/>
        <color rgb="FFC43D3D"/>
        <color rgb="FFF2A93B"/>
        <color rgb="FF2E9E6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6" min="5" style="0" width="16"/>
    <col collapsed="false" customWidth="true" hidden="false" outlineLevel="0" max="7" min="7" style="0" width="44"/>
  </cols>
  <sheetData>
    <row r="1" customFormat="false" ht="19.7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15" hidden="false" customHeight="false" outlineLevel="0" collapsed="false">
      <c r="A4" s="3" t="s">
        <v>94</v>
      </c>
      <c r="D4" s="3" t="s">
        <v>95</v>
      </c>
    </row>
    <row r="5" customFormat="false" ht="15" hidden="false" customHeight="false" outlineLevel="0" collapsed="false">
      <c r="A5" s="12" t="s">
        <v>78</v>
      </c>
      <c r="B5" s="12" t="s">
        <v>79</v>
      </c>
      <c r="D5" s="2" t="s">
        <v>96</v>
      </c>
    </row>
    <row r="6" customFormat="false" ht="15" hidden="false" customHeight="false" outlineLevel="0" collapsed="false">
      <c r="A6" s="6" t="s">
        <v>97</v>
      </c>
      <c r="B6" s="24" t="n">
        <v>20</v>
      </c>
      <c r="D6" s="12" t="s">
        <v>39</v>
      </c>
      <c r="E6" s="12" t="s">
        <v>98</v>
      </c>
      <c r="F6" s="12" t="s">
        <v>99</v>
      </c>
      <c r="G6" s="12" t="s">
        <v>100</v>
      </c>
    </row>
    <row r="7" customFormat="false" ht="15" hidden="false" customHeight="false" outlineLevel="0" collapsed="false">
      <c r="A7" s="6" t="s">
        <v>101</v>
      </c>
      <c r="B7" s="24" t="n">
        <v>15</v>
      </c>
      <c r="D7" s="6" t="s">
        <v>102</v>
      </c>
      <c r="E7" s="25" t="n">
        <v>15</v>
      </c>
      <c r="F7" s="25" t="n">
        <v>0</v>
      </c>
      <c r="G7" s="26" t="s">
        <v>103</v>
      </c>
    </row>
    <row r="8" customFormat="false" ht="15" hidden="false" customHeight="false" outlineLevel="0" collapsed="false">
      <c r="A8" s="6" t="s">
        <v>104</v>
      </c>
      <c r="B8" s="24" t="n">
        <v>20</v>
      </c>
      <c r="D8" s="6" t="s">
        <v>48</v>
      </c>
      <c r="E8" s="25" t="n">
        <v>0.5</v>
      </c>
      <c r="F8" s="25" t="n">
        <v>0</v>
      </c>
      <c r="G8" s="26" t="s">
        <v>105</v>
      </c>
    </row>
    <row r="9" customFormat="false" ht="15" hidden="false" customHeight="false" outlineLevel="0" collapsed="false">
      <c r="A9" s="6" t="s">
        <v>106</v>
      </c>
      <c r="B9" s="24" t="n">
        <v>20</v>
      </c>
      <c r="D9" s="6" t="s">
        <v>49</v>
      </c>
      <c r="E9" s="25" t="n">
        <v>0.3</v>
      </c>
      <c r="F9" s="25" t="n">
        <v>0</v>
      </c>
      <c r="G9" s="26" t="s">
        <v>107</v>
      </c>
    </row>
    <row r="10" customFormat="false" ht="15" hidden="false" customHeight="false" outlineLevel="0" collapsed="false">
      <c r="A10" s="6" t="s">
        <v>108</v>
      </c>
      <c r="B10" s="24" t="n">
        <v>10</v>
      </c>
      <c r="D10" s="6" t="s">
        <v>109</v>
      </c>
      <c r="E10" s="25" t="n">
        <v>30</v>
      </c>
      <c r="F10" s="25" t="n">
        <v>5</v>
      </c>
      <c r="G10" s="26" t="s">
        <v>110</v>
      </c>
    </row>
    <row r="11" customFormat="false" ht="15" hidden="false" customHeight="false" outlineLevel="0" collapsed="false">
      <c r="A11" s="6" t="s">
        <v>111</v>
      </c>
      <c r="B11" s="24" t="n">
        <v>15</v>
      </c>
      <c r="D11" s="6" t="s">
        <v>45</v>
      </c>
      <c r="E11" s="25" t="n">
        <v>0.4</v>
      </c>
      <c r="F11" s="25" t="n">
        <v>0.05</v>
      </c>
      <c r="G11" s="26" t="s">
        <v>112</v>
      </c>
    </row>
    <row r="12" customFormat="false" ht="15" hidden="false" customHeight="false" outlineLevel="0" collapsed="false">
      <c r="A12" s="22" t="s">
        <v>113</v>
      </c>
      <c r="B12" s="15" t="n">
        <f aca="false">SUM(B6:B11)</f>
        <v>100</v>
      </c>
      <c r="D12" s="6" t="s">
        <v>114</v>
      </c>
      <c r="E12" s="25" t="n">
        <v>40</v>
      </c>
      <c r="F12" s="25" t="n">
        <v>0</v>
      </c>
      <c r="G12" s="26" t="s">
        <v>115</v>
      </c>
    </row>
    <row r="13" customFormat="false" ht="15" hidden="false" customHeight="false" outlineLevel="0" collapsed="false">
      <c r="D13" s="6" t="s">
        <v>116</v>
      </c>
      <c r="E13" s="25" t="n">
        <v>8</v>
      </c>
      <c r="F13" s="25" t="n">
        <v>1</v>
      </c>
      <c r="G13" s="26" t="s">
        <v>117</v>
      </c>
    </row>
    <row r="14" customFormat="false" ht="15" hidden="false" customHeight="false" outlineLevel="0" collapsed="false">
      <c r="D14" s="6" t="s">
        <v>118</v>
      </c>
      <c r="E14" s="25" t="n">
        <v>60</v>
      </c>
      <c r="F14" s="25" t="n">
        <v>5</v>
      </c>
      <c r="G14" s="26" t="s">
        <v>119</v>
      </c>
    </row>
    <row r="15" customFormat="false" ht="15" hidden="false" customHeight="false" outlineLevel="0" collapsed="false">
      <c r="A15" s="3" t="s">
        <v>120</v>
      </c>
      <c r="D15" s="6" t="s">
        <v>57</v>
      </c>
      <c r="E15" s="25" t="n">
        <v>0.8</v>
      </c>
      <c r="F15" s="25" t="n">
        <v>0.3</v>
      </c>
      <c r="G15" s="26" t="s">
        <v>121</v>
      </c>
    </row>
    <row r="16" customFormat="false" ht="15" hidden="false" customHeight="false" outlineLevel="0" collapsed="false">
      <c r="A16" s="12" t="s">
        <v>122</v>
      </c>
      <c r="B16" s="12" t="s">
        <v>90</v>
      </c>
      <c r="D16" s="6" t="s">
        <v>123</v>
      </c>
      <c r="E16" s="25" t="n">
        <v>2</v>
      </c>
      <c r="F16" s="25" t="n">
        <v>12</v>
      </c>
      <c r="G16" s="26" t="s">
        <v>124</v>
      </c>
    </row>
    <row r="17" customFormat="false" ht="15" hidden="false" customHeight="false" outlineLevel="0" collapsed="false">
      <c r="A17" s="24" t="n">
        <v>0</v>
      </c>
      <c r="B17" s="27" t="s">
        <v>125</v>
      </c>
      <c r="D17" s="6" t="s">
        <v>66</v>
      </c>
      <c r="E17" s="25" t="n">
        <v>0</v>
      </c>
      <c r="F17" s="25" t="n">
        <v>8</v>
      </c>
      <c r="G17" s="26" t="s">
        <v>126</v>
      </c>
    </row>
    <row r="18" customFormat="false" ht="15" hidden="false" customHeight="false" outlineLevel="0" collapsed="false">
      <c r="A18" s="24" t="n">
        <v>50</v>
      </c>
      <c r="B18" s="27" t="s">
        <v>127</v>
      </c>
      <c r="D18" s="6" t="s">
        <v>128</v>
      </c>
      <c r="E18" s="25" t="n">
        <v>0</v>
      </c>
      <c r="F18" s="25" t="n">
        <v>1</v>
      </c>
      <c r="G18" s="26" t="s">
        <v>129</v>
      </c>
    </row>
    <row r="19" customFormat="false" ht="15" hidden="false" customHeight="false" outlineLevel="0" collapsed="false">
      <c r="A19" s="24" t="n">
        <v>70</v>
      </c>
      <c r="B19" s="27" t="s">
        <v>130</v>
      </c>
      <c r="D19" s="6" t="s">
        <v>131</v>
      </c>
      <c r="E19" s="25" t="n">
        <v>6</v>
      </c>
      <c r="F19" s="25" t="n">
        <v>0.5</v>
      </c>
      <c r="G19" s="26" t="s">
        <v>132</v>
      </c>
    </row>
    <row r="20" customFormat="false" ht="15" hidden="false" customHeight="false" outlineLevel="0" collapsed="false">
      <c r="A20" s="24" t="n">
        <v>85</v>
      </c>
      <c r="B20" s="27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3" t="s">
        <v>136</v>
      </c>
    </row>
    <row r="5" customFormat="false" ht="15" hidden="false" customHeight="false" outlineLevel="0" collapsed="false">
      <c r="A5" s="6" t="s">
        <v>137</v>
      </c>
      <c r="B5" s="27" t="s">
        <v>138</v>
      </c>
      <c r="C5" s="2" t="s">
        <v>139</v>
      </c>
    </row>
    <row r="6" customFormat="false" ht="15" hidden="false" customHeight="false" outlineLevel="0" collapsed="false">
      <c r="A6" s="6" t="s">
        <v>35</v>
      </c>
      <c r="B6" s="27" t="s">
        <v>140</v>
      </c>
    </row>
    <row r="7" customFormat="false" ht="15" hidden="false" customHeight="false" outlineLevel="0" collapsed="false">
      <c r="A7" s="6" t="s">
        <v>141</v>
      </c>
      <c r="B7" s="28" t="n">
        <v>0.416666666666667</v>
      </c>
    </row>
    <row r="8" customFormat="false" ht="15" hidden="false" customHeight="false" outlineLevel="0" collapsed="false">
      <c r="A8" s="6" t="s">
        <v>142</v>
      </c>
      <c r="B8" s="28" t="n">
        <v>0.458333333333333</v>
      </c>
    </row>
    <row r="9" customFormat="false" ht="15" hidden="false" customHeight="false" outlineLevel="0" collapsed="false">
      <c r="A9" s="6" t="s">
        <v>143</v>
      </c>
      <c r="B9" s="28" t="n">
        <v>0.419444444444445</v>
      </c>
      <c r="C9" s="2" t="s">
        <v>144</v>
      </c>
    </row>
    <row r="10" customFormat="false" ht="15" hidden="false" customHeight="false" outlineLevel="0" collapsed="false">
      <c r="A10" s="6" t="s">
        <v>145</v>
      </c>
      <c r="B10" s="28" t="n">
        <v>0.463194444444444</v>
      </c>
    </row>
    <row r="11" customFormat="false" ht="15" hidden="false" customHeight="false" outlineLevel="0" collapsed="false">
      <c r="A11" s="6" t="s">
        <v>146</v>
      </c>
      <c r="B11" s="24" t="n">
        <v>10</v>
      </c>
    </row>
    <row r="12" customFormat="false" ht="15" hidden="false" customHeight="false" outlineLevel="0" collapsed="false">
      <c r="A12" s="6" t="s">
        <v>147</v>
      </c>
      <c r="B12" s="29" t="n">
        <v>4</v>
      </c>
    </row>
    <row r="13" customFormat="false" ht="15" hidden="false" customHeight="false" outlineLevel="0" collapsed="false">
      <c r="A13" s="6" t="s">
        <v>148</v>
      </c>
      <c r="B13" s="29" t="n">
        <v>12</v>
      </c>
    </row>
    <row r="14" customFormat="false" ht="15" hidden="false" customHeight="false" outlineLevel="0" collapsed="false">
      <c r="A14" s="6" t="s">
        <v>149</v>
      </c>
      <c r="B14" s="29" t="n">
        <v>6</v>
      </c>
    </row>
    <row r="15" customFormat="false" ht="15" hidden="false" customHeight="false" outlineLevel="0" collapsed="false">
      <c r="A15" s="6" t="s">
        <v>150</v>
      </c>
      <c r="B15" s="29" t="n">
        <v>52</v>
      </c>
      <c r="C15" s="2" t="s">
        <v>151</v>
      </c>
    </row>
    <row r="18" customFormat="false" ht="15" hidden="false" customHeight="false" outlineLevel="0" collapsed="false">
      <c r="A18" s="3" t="s">
        <v>152</v>
      </c>
    </row>
    <row r="19" customFormat="false" ht="15" hidden="false" customHeight="false" outlineLevel="0" collapsed="false">
      <c r="A19" s="6" t="s">
        <v>153</v>
      </c>
      <c r="B19" s="19" t="n">
        <f aca="false">(B8-B7)*1440</f>
        <v>60</v>
      </c>
    </row>
    <row r="20" customFormat="false" ht="15" hidden="false" customHeight="false" outlineLevel="0" collapsed="false">
      <c r="A20" s="6" t="s">
        <v>154</v>
      </c>
      <c r="B20" s="19" t="n">
        <f aca="false">(B10-B9)*1440</f>
        <v>63</v>
      </c>
    </row>
    <row r="21" customFormat="false" ht="15" hidden="false" customHeight="false" outlineLevel="0" collapsed="false">
      <c r="A21" s="6" t="s">
        <v>47</v>
      </c>
      <c r="B21" s="19" t="n">
        <f aca="false">MAX(0,(B9-B7)*1440)</f>
        <v>4</v>
      </c>
    </row>
    <row r="22" customFormat="false" ht="15" hidden="false" customHeight="false" outlineLevel="0" collapsed="false">
      <c r="A22" s="6" t="s">
        <v>155</v>
      </c>
      <c r="B22" s="30" t="n">
        <f aca="false">IFERROR(MAX(0,(B20-B19)/B19),"")</f>
        <v>0.0500000000000001</v>
      </c>
    </row>
    <row r="23" customFormat="false" ht="15" hidden="false" customHeight="false" outlineLevel="0" collapsed="false">
      <c r="A23" s="6" t="s">
        <v>49</v>
      </c>
      <c r="B23" s="30" t="n">
        <f aca="false">IFERROR(B12/B20,"")</f>
        <v>0.0634920634920635</v>
      </c>
    </row>
    <row r="24" customFormat="false" ht="15" hidden="false" customHeight="false" outlineLevel="0" collapsed="false">
      <c r="A24" s="6" t="s">
        <v>45</v>
      </c>
      <c r="B24" s="30" t="n">
        <f aca="false">IFERROR(B14/B15,"")</f>
        <v>0.115384615384615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6" min="3" style="0" width="11"/>
    <col collapsed="false" customWidth="true" hidden="false" outlineLevel="0" max="9" min="7" style="0" width="13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35.05" hidden="false" customHeight="false" outlineLevel="0" collapsed="false">
      <c r="A4" s="12" t="s">
        <v>158</v>
      </c>
      <c r="B4" s="12" t="s">
        <v>159</v>
      </c>
      <c r="C4" s="12" t="s">
        <v>160</v>
      </c>
      <c r="D4" s="12" t="s">
        <v>161</v>
      </c>
      <c r="E4" s="12" t="s">
        <v>162</v>
      </c>
      <c r="F4" s="12" t="s">
        <v>163</v>
      </c>
      <c r="G4" s="12" t="s">
        <v>164</v>
      </c>
      <c r="H4" s="12" t="s">
        <v>165</v>
      </c>
      <c r="I4" s="12" t="s">
        <v>166</v>
      </c>
      <c r="J4" s="12" t="s">
        <v>167</v>
      </c>
      <c r="K4" s="12" t="s">
        <v>168</v>
      </c>
      <c r="L4" s="12" t="s">
        <v>169</v>
      </c>
    </row>
    <row r="5" customFormat="false" ht="15" hidden="false" customHeight="false" outlineLevel="0" collapsed="false">
      <c r="A5" s="27" t="s">
        <v>170</v>
      </c>
      <c r="B5" s="27" t="s">
        <v>171</v>
      </c>
      <c r="C5" s="29" t="n">
        <v>10</v>
      </c>
      <c r="D5" s="24" t="n">
        <v>1</v>
      </c>
      <c r="E5" s="29" t="n">
        <v>12</v>
      </c>
      <c r="F5" s="24" t="n">
        <v>1</v>
      </c>
      <c r="G5" s="27" t="s">
        <v>172</v>
      </c>
      <c r="H5" s="27" t="s">
        <v>173</v>
      </c>
      <c r="I5" s="27" t="s">
        <v>173</v>
      </c>
      <c r="J5" s="27" t="s">
        <v>172</v>
      </c>
      <c r="K5" s="30" t="n">
        <f aca="false">IF($A5="","",IF(C5=0,"",MAX(0,1-ABS(E5-C5)/C5)))</f>
        <v>0.8</v>
      </c>
      <c r="L5" s="15" t="n">
        <f aca="false">IF($A5="","",IF(F5=D5,1,0))</f>
        <v>1</v>
      </c>
    </row>
    <row r="6" customFormat="false" ht="15" hidden="false" customHeight="false" outlineLevel="0" collapsed="false">
      <c r="A6" s="27" t="s">
        <v>174</v>
      </c>
      <c r="B6" s="27" t="s">
        <v>175</v>
      </c>
      <c r="C6" s="29" t="n">
        <v>10</v>
      </c>
      <c r="D6" s="24" t="n">
        <v>2</v>
      </c>
      <c r="E6" s="29" t="n">
        <v>15</v>
      </c>
      <c r="F6" s="24" t="n">
        <v>2</v>
      </c>
      <c r="G6" s="27" t="s">
        <v>172</v>
      </c>
      <c r="H6" s="27" t="s">
        <v>172</v>
      </c>
      <c r="I6" s="27" t="s">
        <v>172</v>
      </c>
      <c r="J6" s="27" t="s">
        <v>172</v>
      </c>
      <c r="K6" s="30" t="n">
        <f aca="false">IF($A6="","",IF(C6=0,"",MAX(0,1-ABS(E6-C6)/C6)))</f>
        <v>0.5</v>
      </c>
      <c r="L6" s="15" t="n">
        <f aca="false">IF($A6="","",IF(F6=D6,1,0))</f>
        <v>1</v>
      </c>
    </row>
    <row r="7" customFormat="false" ht="15" hidden="false" customHeight="false" outlineLevel="0" collapsed="false">
      <c r="A7" s="27" t="s">
        <v>176</v>
      </c>
      <c r="B7" s="27" t="s">
        <v>177</v>
      </c>
      <c r="C7" s="29" t="n">
        <v>10</v>
      </c>
      <c r="D7" s="24" t="n">
        <v>3</v>
      </c>
      <c r="E7" s="29" t="n">
        <v>9</v>
      </c>
      <c r="F7" s="24" t="n">
        <v>4</v>
      </c>
      <c r="G7" s="27" t="s">
        <v>172</v>
      </c>
      <c r="H7" s="27" t="s">
        <v>172</v>
      </c>
      <c r="I7" s="27" t="s">
        <v>172</v>
      </c>
      <c r="J7" s="27" t="s">
        <v>172</v>
      </c>
      <c r="K7" s="30" t="n">
        <f aca="false">IF($A7="","",IF(C7=0,"",MAX(0,1-ABS(E7-C7)/C7)))</f>
        <v>0.9</v>
      </c>
      <c r="L7" s="15" t="n">
        <f aca="false">IF($A7="","",IF(F7=D7,1,0))</f>
        <v>0</v>
      </c>
    </row>
    <row r="8" customFormat="false" ht="15" hidden="false" customHeight="false" outlineLevel="0" collapsed="false">
      <c r="A8" s="27" t="s">
        <v>178</v>
      </c>
      <c r="B8" s="27" t="s">
        <v>179</v>
      </c>
      <c r="C8" s="29" t="n">
        <v>10</v>
      </c>
      <c r="D8" s="24" t="n">
        <v>4</v>
      </c>
      <c r="E8" s="29" t="n">
        <v>8</v>
      </c>
      <c r="F8" s="24" t="n">
        <v>3</v>
      </c>
      <c r="G8" s="27" t="s">
        <v>172</v>
      </c>
      <c r="H8" s="27" t="s">
        <v>173</v>
      </c>
      <c r="I8" s="27" t="s">
        <v>173</v>
      </c>
      <c r="J8" s="27" t="s">
        <v>172</v>
      </c>
      <c r="K8" s="30" t="n">
        <f aca="false">IF($A8="","",IF(C8=0,"",MAX(0,1-ABS(E8-C8)/C8)))</f>
        <v>0.8</v>
      </c>
      <c r="L8" s="15" t="n">
        <f aca="false">IF($A8="","",IF(F8=D8,1,0))</f>
        <v>0</v>
      </c>
    </row>
    <row r="9" customFormat="false" ht="15" hidden="false" customHeight="false" outlineLevel="0" collapsed="false">
      <c r="A9" s="27" t="s">
        <v>180</v>
      </c>
      <c r="B9" s="27" t="s">
        <v>171</v>
      </c>
      <c r="C9" s="29" t="n">
        <v>10</v>
      </c>
      <c r="D9" s="24" t="n">
        <v>5</v>
      </c>
      <c r="E9" s="29" t="n">
        <v>5</v>
      </c>
      <c r="F9" s="24" t="n">
        <v>5</v>
      </c>
      <c r="G9" s="27" t="s">
        <v>172</v>
      </c>
      <c r="H9" s="27" t="s">
        <v>173</v>
      </c>
      <c r="I9" s="27" t="s">
        <v>173</v>
      </c>
      <c r="J9" s="27" t="s">
        <v>173</v>
      </c>
      <c r="K9" s="30" t="n">
        <f aca="false">IF($A9="","",IF(C9=0,"",MAX(0,1-ABS(E9-C9)/C9)))</f>
        <v>0.5</v>
      </c>
      <c r="L9" s="15" t="n">
        <f aca="false">IF($A9="","",IF(F9=D9,1,0))</f>
        <v>1</v>
      </c>
    </row>
    <row r="10" customFormat="false" ht="15" hidden="false" customHeight="false" outlineLevel="0" collapsed="false">
      <c r="A10" s="27" t="s">
        <v>181</v>
      </c>
      <c r="B10" s="27" t="s">
        <v>171</v>
      </c>
      <c r="C10" s="29" t="n">
        <v>10</v>
      </c>
      <c r="D10" s="24" t="n">
        <v>6</v>
      </c>
      <c r="E10" s="29" t="n">
        <v>0</v>
      </c>
      <c r="F10" s="24"/>
      <c r="G10" s="27" t="s">
        <v>173</v>
      </c>
      <c r="H10" s="27" t="s">
        <v>173</v>
      </c>
      <c r="I10" s="27" t="s">
        <v>173</v>
      </c>
      <c r="J10" s="27" t="s">
        <v>173</v>
      </c>
      <c r="K10" s="30" t="n">
        <f aca="false">IF($A10="","",IF(C10=0,"",MAX(0,1-ABS(E10-C10)/C10)))</f>
        <v>0</v>
      </c>
      <c r="L10" s="15" t="n">
        <f aca="false">IF($A10="","",IF(F10=D10,1,0))</f>
        <v>0</v>
      </c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30" t="str">
        <f aca="false">IF($A11="","",IF(C11=0,"",MAX(0,1-ABS(E11-C11)/C11)))</f>
        <v/>
      </c>
      <c r="L11" s="15" t="str">
        <f aca="false">IF($A11="","",IF(F11=D11,1,0))</f>
        <v/>
      </c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30" t="str">
        <f aca="false">IF($A12="","",IF(C12=0,"",MAX(0,1-ABS(E12-C12)/C12)))</f>
        <v/>
      </c>
      <c r="L12" s="15" t="str">
        <f aca="false">IF($A12="","",IF(F12=D12,1,0))</f>
        <v/>
      </c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30" t="str">
        <f aca="false">IF($A13="","",IF(C13=0,"",MAX(0,1-ABS(E13-C13)/C13)))</f>
        <v/>
      </c>
      <c r="L13" s="15" t="str">
        <f aca="false">IF($A13="","",IF(F13=D13,1,0))</f>
        <v/>
      </c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30" t="str">
        <f aca="false">IF($A14="","",IF(C14=0,"",MAX(0,1-ABS(E14-C14)/C14)))</f>
        <v/>
      </c>
      <c r="L14" s="15" t="str">
        <f aca="false">IF($A14="","",IF(F14=D14,1,0))</f>
        <v/>
      </c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30" t="str">
        <f aca="false">IF($A15="","",IF(C15=0,"",MAX(0,1-ABS(E15-C15)/C15)))</f>
        <v/>
      </c>
      <c r="L15" s="15" t="str">
        <f aca="false">IF($A15="","",IF(F15=D15,1,0))</f>
        <v/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30" t="str">
        <f aca="false">IF($A16="","",IF(C16=0,"",MAX(0,1-ABS(E16-C16)/C16)))</f>
        <v/>
      </c>
      <c r="L16" s="15" t="str">
        <f aca="false">IF($A16="","",IF(F16=D16,1,0))</f>
        <v/>
      </c>
    </row>
    <row r="18" customFormat="false" ht="15" hidden="false" customHeight="false" outlineLevel="0" collapsed="false">
      <c r="A18" s="3" t="s">
        <v>182</v>
      </c>
    </row>
    <row r="19" customFormat="false" ht="15" hidden="false" customHeight="false" outlineLevel="0" collapsed="false">
      <c r="A19" s="6" t="s">
        <v>183</v>
      </c>
      <c r="B19" s="15" t="n">
        <f aca="false">COUNTIF(A5:A16,"&lt;&gt;")</f>
        <v>6</v>
      </c>
    </row>
    <row r="20" customFormat="false" ht="15" hidden="false" customHeight="false" outlineLevel="0" collapsed="false">
      <c r="A20" s="6" t="s">
        <v>184</v>
      </c>
      <c r="B20" s="15" t="n">
        <f aca="false">COUNTIFS(A5:A16,"&lt;&gt;",G5:G16,"Y")</f>
        <v>5</v>
      </c>
    </row>
    <row r="21" customFormat="false" ht="15" hidden="false" customHeight="false" outlineLevel="0" collapsed="false">
      <c r="A21" s="6" t="s">
        <v>43</v>
      </c>
      <c r="B21" s="30" t="n">
        <f aca="false">IFERROR(B20/B19,"")</f>
        <v>0.833333333333333</v>
      </c>
    </row>
    <row r="22" customFormat="false" ht="15" hidden="false" customHeight="false" outlineLevel="0" collapsed="false">
      <c r="A22" s="6" t="s">
        <v>44</v>
      </c>
      <c r="B22" s="30" t="n">
        <f aca="false">IFERROR(AVERAGE(K5:K16),"")</f>
        <v>0.583333333333333</v>
      </c>
    </row>
    <row r="23" customFormat="false" ht="15" hidden="false" customHeight="false" outlineLevel="0" collapsed="false">
      <c r="A23" s="6" t="s">
        <v>21</v>
      </c>
      <c r="B23" s="30" t="n">
        <f aca="false">IFERROR(SUM(L5:L16)/B19,"")</f>
        <v>0.5</v>
      </c>
    </row>
    <row r="24" customFormat="false" ht="15" hidden="false" customHeight="false" outlineLevel="0" collapsed="false">
      <c r="A24" s="6" t="s">
        <v>185</v>
      </c>
      <c r="B24" s="15" t="n">
        <f aca="false">COUNTIF(H5:H16,"Y")</f>
        <v>2</v>
      </c>
    </row>
    <row r="25" customFormat="false" ht="15" hidden="false" customHeight="false" outlineLevel="0" collapsed="false">
      <c r="A25" s="6" t="s">
        <v>186</v>
      </c>
      <c r="B25" s="15" t="n">
        <f aca="false">COUNTIFS(H5:H16,"Y",I5:I16,"Y")</f>
        <v>2</v>
      </c>
    </row>
    <row r="26" customFormat="false" ht="15" hidden="false" customHeight="false" outlineLevel="0" collapsed="false">
      <c r="A26" s="6" t="s">
        <v>70</v>
      </c>
      <c r="B26" s="30" t="n">
        <f aca="false">IF(B24=0,"",B25/B24)</f>
        <v>1</v>
      </c>
    </row>
    <row r="27" customFormat="false" ht="15" hidden="false" customHeight="false" outlineLevel="0" collapsed="false">
      <c r="A27" s="6" t="s">
        <v>187</v>
      </c>
      <c r="B27" s="30" t="n">
        <f aca="false">IFERROR(COUNTIFS(G5:G16,"Y",J5:J16,"N")/B20,"")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8" min="5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19.7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23.85" hidden="false" customHeight="false" outlineLevel="0" collapsed="false">
      <c r="A4" s="12" t="s">
        <v>190</v>
      </c>
      <c r="B4" s="12" t="s">
        <v>191</v>
      </c>
      <c r="C4" s="12" t="s">
        <v>192</v>
      </c>
      <c r="D4" s="12" t="s">
        <v>193</v>
      </c>
      <c r="E4" s="12" t="s">
        <v>194</v>
      </c>
      <c r="F4" s="12" t="s">
        <v>195</v>
      </c>
      <c r="G4" s="12" t="s">
        <v>196</v>
      </c>
      <c r="H4" s="12" t="s">
        <v>197</v>
      </c>
      <c r="I4" s="12" t="s">
        <v>198</v>
      </c>
      <c r="J4" s="12" t="s">
        <v>199</v>
      </c>
      <c r="K4" s="12" t="s">
        <v>200</v>
      </c>
      <c r="L4" s="12" t="s">
        <v>201</v>
      </c>
      <c r="M4" s="12" t="s">
        <v>202</v>
      </c>
      <c r="N4" s="12" t="s">
        <v>203</v>
      </c>
    </row>
    <row r="5" customFormat="false" ht="15" hidden="false" customHeight="false" outlineLevel="0" collapsed="false">
      <c r="A5" s="27" t="s">
        <v>171</v>
      </c>
      <c r="B5" s="27" t="s">
        <v>204</v>
      </c>
      <c r="C5" s="27" t="s">
        <v>172</v>
      </c>
      <c r="D5" s="29" t="n">
        <v>63</v>
      </c>
      <c r="E5" s="29" t="n">
        <v>14</v>
      </c>
      <c r="F5" s="24" t="n">
        <v>2</v>
      </c>
      <c r="G5" s="24" t="n">
        <v>3</v>
      </c>
      <c r="H5" s="24" t="n">
        <v>1</v>
      </c>
      <c r="I5" s="24" t="n">
        <v>0</v>
      </c>
      <c r="J5" s="24" t="n">
        <v>2</v>
      </c>
      <c r="K5" s="15" t="n">
        <f aca="false">IF($A5="","",SUM(F5:J5))</f>
        <v>8</v>
      </c>
      <c r="L5" s="15" t="n">
        <f aca="false">IF($A5="","",IF(K5&gt;0,1,0))</f>
        <v>1</v>
      </c>
      <c r="M5" s="30" t="n">
        <f aca="false">IF($A5="","",IFERROR(E5/SUMIF($C$5:$C$19,"Y",$E$5:$E$19),""))</f>
        <v>0.269230769230769</v>
      </c>
      <c r="N5" s="15" t="n">
        <f aca="false">IF(OR($A5="",$C5&lt;&gt;"Y"),"",COUNTIFS($C$5:$C$19,"Y",$E$5:$E$19,"&lt;"&amp;E5)+1)</f>
        <v>8</v>
      </c>
    </row>
    <row r="6" customFormat="false" ht="15" hidden="false" customHeight="false" outlineLevel="0" collapsed="false">
      <c r="A6" s="27" t="s">
        <v>175</v>
      </c>
      <c r="B6" s="27" t="s">
        <v>205</v>
      </c>
      <c r="C6" s="27" t="s">
        <v>172</v>
      </c>
      <c r="D6" s="29" t="n">
        <v>63</v>
      </c>
      <c r="E6" s="29" t="n">
        <v>12</v>
      </c>
      <c r="F6" s="24" t="n">
        <v>1</v>
      </c>
      <c r="G6" s="24" t="n">
        <v>4</v>
      </c>
      <c r="H6" s="24" t="n">
        <v>1</v>
      </c>
      <c r="I6" s="24" t="n">
        <v>0</v>
      </c>
      <c r="J6" s="24" t="n">
        <v>3</v>
      </c>
      <c r="K6" s="15" t="n">
        <f aca="false">IF($A6="","",SUM(F6:J6))</f>
        <v>9</v>
      </c>
      <c r="L6" s="15" t="n">
        <f aca="false">IF($A6="","",IF(K6&gt;0,1,0))</f>
        <v>1</v>
      </c>
      <c r="M6" s="30" t="n">
        <f aca="false">IF($A6="","",IFERROR(E6/SUMIF($C$5:$C$19,"Y",$E$5:$E$19),""))</f>
        <v>0.230769230769231</v>
      </c>
      <c r="N6" s="15" t="n">
        <f aca="false">IF(OR($A6="",$C6&lt;&gt;"Y"),"",COUNTIFS($C$5:$C$19,"Y",$E$5:$E$19,"&lt;"&amp;E6)+1)</f>
        <v>7</v>
      </c>
    </row>
    <row r="7" customFormat="false" ht="15" hidden="false" customHeight="false" outlineLevel="0" collapsed="false">
      <c r="A7" s="27" t="s">
        <v>177</v>
      </c>
      <c r="B7" s="27" t="s">
        <v>205</v>
      </c>
      <c r="C7" s="27" t="s">
        <v>172</v>
      </c>
      <c r="D7" s="29" t="n">
        <v>63</v>
      </c>
      <c r="E7" s="29" t="n">
        <v>9</v>
      </c>
      <c r="F7" s="24" t="n">
        <v>1</v>
      </c>
      <c r="G7" s="24" t="n">
        <v>3</v>
      </c>
      <c r="H7" s="24" t="n">
        <v>1</v>
      </c>
      <c r="I7" s="24" t="n">
        <v>1</v>
      </c>
      <c r="J7" s="24" t="n">
        <v>1</v>
      </c>
      <c r="K7" s="15" t="n">
        <f aca="false">IF($A7="","",SUM(F7:J7))</f>
        <v>7</v>
      </c>
      <c r="L7" s="15" t="n">
        <f aca="false">IF($A7="","",IF(K7&gt;0,1,0))</f>
        <v>1</v>
      </c>
      <c r="M7" s="30" t="n">
        <f aca="false">IF($A7="","",IFERROR(E7/SUMIF($C$5:$C$19,"Y",$E$5:$E$19),""))</f>
        <v>0.173076923076923</v>
      </c>
      <c r="N7" s="15" t="n">
        <f aca="false">IF(OR($A7="",$C7&lt;&gt;"Y"),"",COUNTIFS($C$5:$C$19,"Y",$E$5:$E$19,"&lt;"&amp;E7)+1)</f>
        <v>6</v>
      </c>
    </row>
    <row r="8" customFormat="false" ht="15" hidden="false" customHeight="false" outlineLevel="0" collapsed="false">
      <c r="A8" s="27" t="s">
        <v>179</v>
      </c>
      <c r="B8" s="27" t="s">
        <v>206</v>
      </c>
      <c r="C8" s="27" t="s">
        <v>172</v>
      </c>
      <c r="D8" s="29" t="n">
        <v>63</v>
      </c>
      <c r="E8" s="29" t="n">
        <v>6</v>
      </c>
      <c r="F8" s="24" t="n">
        <v>3</v>
      </c>
      <c r="G8" s="24" t="n">
        <v>0</v>
      </c>
      <c r="H8" s="24" t="n">
        <v>0</v>
      </c>
      <c r="I8" s="24" t="n">
        <v>1</v>
      </c>
      <c r="J8" s="24" t="n">
        <v>1</v>
      </c>
      <c r="K8" s="15" t="n">
        <f aca="false">IF($A8="","",SUM(F8:J8))</f>
        <v>5</v>
      </c>
      <c r="L8" s="15" t="n">
        <f aca="false">IF($A8="","",IF(K8&gt;0,1,0))</f>
        <v>1</v>
      </c>
      <c r="M8" s="30" t="n">
        <f aca="false">IF($A8="","",IFERROR(E8/SUMIF($C$5:$C$19,"Y",$E$5:$E$19),""))</f>
        <v>0.115384615384615</v>
      </c>
      <c r="N8" s="15" t="n">
        <f aca="false">IF(OR($A8="",$C8&lt;&gt;"Y"),"",COUNTIFS($C$5:$C$19,"Y",$E$5:$E$19,"&lt;"&amp;E8)+1)</f>
        <v>5</v>
      </c>
    </row>
    <row r="9" customFormat="false" ht="15" hidden="false" customHeight="false" outlineLevel="0" collapsed="false">
      <c r="A9" s="27" t="s">
        <v>207</v>
      </c>
      <c r="B9" s="27" t="s">
        <v>206</v>
      </c>
      <c r="C9" s="27" t="s">
        <v>172</v>
      </c>
      <c r="D9" s="29" t="n">
        <v>63</v>
      </c>
      <c r="E9" s="29" t="n">
        <v>5</v>
      </c>
      <c r="F9" s="24" t="n">
        <v>2</v>
      </c>
      <c r="G9" s="24" t="n">
        <v>0</v>
      </c>
      <c r="H9" s="24" t="n">
        <v>1</v>
      </c>
      <c r="I9" s="24" t="n">
        <v>1</v>
      </c>
      <c r="J9" s="24" t="n">
        <v>0</v>
      </c>
      <c r="K9" s="15" t="n">
        <f aca="false">IF($A9="","",SUM(F9:J9))</f>
        <v>4</v>
      </c>
      <c r="L9" s="15" t="n">
        <f aca="false">IF($A9="","",IF(K9&gt;0,1,0))</f>
        <v>1</v>
      </c>
      <c r="M9" s="30" t="n">
        <f aca="false">IF($A9="","",IFERROR(E9/SUMIF($C$5:$C$19,"Y",$E$5:$E$19),""))</f>
        <v>0.0961538461538462</v>
      </c>
      <c r="N9" s="15" t="n">
        <f aca="false">IF(OR($A9="",$C9&lt;&gt;"Y"),"",COUNTIFS($C$5:$C$19,"Y",$E$5:$E$19,"&lt;"&amp;E9)+1)</f>
        <v>4</v>
      </c>
    </row>
    <row r="10" customFormat="false" ht="15" hidden="false" customHeight="false" outlineLevel="0" collapsed="false">
      <c r="A10" s="27" t="s">
        <v>208</v>
      </c>
      <c r="B10" s="27" t="s">
        <v>206</v>
      </c>
      <c r="C10" s="27" t="s">
        <v>172</v>
      </c>
      <c r="D10" s="29" t="n">
        <v>63</v>
      </c>
      <c r="E10" s="29" t="n">
        <v>3</v>
      </c>
      <c r="F10" s="24" t="n">
        <v>2</v>
      </c>
      <c r="G10" s="24" t="n">
        <v>0</v>
      </c>
      <c r="H10" s="24" t="n">
        <v>0</v>
      </c>
      <c r="I10" s="24" t="n">
        <v>0</v>
      </c>
      <c r="J10" s="24" t="n">
        <v>1</v>
      </c>
      <c r="K10" s="15" t="n">
        <f aca="false">IF($A10="","",SUM(F10:J10))</f>
        <v>3</v>
      </c>
      <c r="L10" s="15" t="n">
        <f aca="false">IF($A10="","",IF(K10&gt;0,1,0))</f>
        <v>1</v>
      </c>
      <c r="M10" s="30" t="n">
        <f aca="false">IF($A10="","",IFERROR(E10/SUMIF($C$5:$C$19,"Y",$E$5:$E$19),""))</f>
        <v>0.0576923076923077</v>
      </c>
      <c r="N10" s="15" t="n">
        <f aca="false">IF(OR($A10="",$C10&lt;&gt;"Y"),"",COUNTIFS($C$5:$C$19,"Y",$E$5:$E$19,"&lt;"&amp;E10)+1)</f>
        <v>3</v>
      </c>
    </row>
    <row r="11" customFormat="false" ht="15" hidden="false" customHeight="false" outlineLevel="0" collapsed="false">
      <c r="A11" s="27" t="s">
        <v>209</v>
      </c>
      <c r="B11" s="27" t="s">
        <v>206</v>
      </c>
      <c r="C11" s="27" t="s">
        <v>172</v>
      </c>
      <c r="D11" s="29" t="n">
        <v>55</v>
      </c>
      <c r="E11" s="29" t="n">
        <v>2</v>
      </c>
      <c r="F11" s="24" t="n">
        <v>1</v>
      </c>
      <c r="G11" s="24" t="n">
        <v>0</v>
      </c>
      <c r="H11" s="24" t="n">
        <v>0</v>
      </c>
      <c r="I11" s="24" t="n">
        <v>0</v>
      </c>
      <c r="J11" s="24" t="n">
        <v>0</v>
      </c>
      <c r="K11" s="15" t="n">
        <f aca="false">IF($A11="","",SUM(F11:J11))</f>
        <v>1</v>
      </c>
      <c r="L11" s="15" t="n">
        <f aca="false">IF($A11="","",IF(K11&gt;0,1,0))</f>
        <v>1</v>
      </c>
      <c r="M11" s="30" t="n">
        <f aca="false">IF($A11="","",IFERROR(E11/SUMIF($C$5:$C$19,"Y",$E$5:$E$19),""))</f>
        <v>0.0384615384615385</v>
      </c>
      <c r="N11" s="15" t="n">
        <f aca="false">IF(OR($A11="",$C11&lt;&gt;"Y"),"",COUNTIFS($C$5:$C$19,"Y",$E$5:$E$19,"&lt;"&amp;E11)+1)</f>
        <v>2</v>
      </c>
    </row>
    <row r="12" customFormat="false" ht="15" hidden="false" customHeight="false" outlineLevel="0" collapsed="false">
      <c r="A12" s="27" t="s">
        <v>210</v>
      </c>
      <c r="B12" s="27" t="s">
        <v>206</v>
      </c>
      <c r="C12" s="27" t="s">
        <v>172</v>
      </c>
      <c r="D12" s="29" t="n">
        <v>40</v>
      </c>
      <c r="E12" s="29" t="n">
        <v>1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15" t="n">
        <f aca="false">IF($A12="","",SUM(F12:J12))</f>
        <v>0</v>
      </c>
      <c r="L12" s="15" t="n">
        <f aca="false">IF($A12="","",IF(K12&gt;0,1,0))</f>
        <v>0</v>
      </c>
      <c r="M12" s="30" t="n">
        <f aca="false">IF($A12="","",IFERROR(E12/SUMIF($C$5:$C$19,"Y",$E$5:$E$19),""))</f>
        <v>0.0192307692307692</v>
      </c>
      <c r="N12" s="15" t="n">
        <f aca="false">IF(OR($A12="",$C12&lt;&gt;"Y"),"",COUNTIFS($C$5:$C$19,"Y",$E$5:$E$19,"&lt;"&amp;E12)+1)</f>
        <v>1</v>
      </c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15" t="str">
        <f aca="false">IF($A13="","",SUM(F13:J13))</f>
        <v/>
      </c>
      <c r="L13" s="15" t="str">
        <f aca="false">IF($A13="","",IF(K13&gt;0,1,0))</f>
        <v/>
      </c>
      <c r="M13" s="30" t="str">
        <f aca="false">IF($A13="","",IFERROR(E13/SUMIF($C$5:$C$19,"Y",$E$5:$E$19),""))</f>
        <v/>
      </c>
      <c r="N13" s="15" t="str">
        <f aca="false">IF(OR($A13="",$C13&lt;&gt;"Y"),"",COUNTIFS($C$5:$C$19,"Y",$E$5:$E$19,"&lt;"&amp;E13)+1)</f>
        <v/>
      </c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15" t="str">
        <f aca="false">IF($A14="","",SUM(F14:J14))</f>
        <v/>
      </c>
      <c r="L14" s="15" t="str">
        <f aca="false">IF($A14="","",IF(K14&gt;0,1,0))</f>
        <v/>
      </c>
      <c r="M14" s="30" t="str">
        <f aca="false">IF($A14="","",IFERROR(E14/SUMIF($C$5:$C$19,"Y",$E$5:$E$19),""))</f>
        <v/>
      </c>
      <c r="N14" s="15" t="str">
        <f aca="false">IF(OR($A14="",$C14&lt;&gt;"Y"),"",COUNTIFS($C$5:$C$19,"Y",$E$5:$E$19,"&lt;"&amp;E14)+1)</f>
        <v/>
      </c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15" t="str">
        <f aca="false">IF($A15="","",SUM(F15:J15))</f>
        <v/>
      </c>
      <c r="L15" s="15" t="str">
        <f aca="false">IF($A15="","",IF(K15&gt;0,1,0))</f>
        <v/>
      </c>
      <c r="M15" s="30" t="str">
        <f aca="false">IF($A15="","",IFERROR(E15/SUMIF($C$5:$C$19,"Y",$E$5:$E$19),""))</f>
        <v/>
      </c>
      <c r="N15" s="15" t="str">
        <f aca="false">IF(OR($A15="",$C15&lt;&gt;"Y"),"",COUNTIFS($C$5:$C$19,"Y",$E$5:$E$19,"&lt;"&amp;E15)+1)</f>
        <v/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15" t="str">
        <f aca="false">IF($A16="","",SUM(F16:J16))</f>
        <v/>
      </c>
      <c r="L16" s="15" t="str">
        <f aca="false">IF($A16="","",IF(K16&gt;0,1,0))</f>
        <v/>
      </c>
      <c r="M16" s="30" t="str">
        <f aca="false">IF($A16="","",IFERROR(E16/SUMIF($C$5:$C$19,"Y",$E$5:$E$19),""))</f>
        <v/>
      </c>
      <c r="N16" s="15" t="str">
        <f aca="false">IF(OR($A16="",$C16&lt;&gt;"Y"),"",COUNTIFS($C$5:$C$19,"Y",$E$5:$E$19,"&lt;"&amp;E16)+1)</f>
        <v/>
      </c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15" t="str">
        <f aca="false">IF($A17="","",SUM(F17:J17))</f>
        <v/>
      </c>
      <c r="L17" s="15" t="str">
        <f aca="false">IF($A17="","",IF(K17&gt;0,1,0))</f>
        <v/>
      </c>
      <c r="M17" s="30" t="str">
        <f aca="false">IF($A17="","",IFERROR(E17/SUMIF($C$5:$C$19,"Y",$E$5:$E$19),""))</f>
        <v/>
      </c>
      <c r="N17" s="15" t="str">
        <f aca="false">IF(OR($A17="",$C17&lt;&gt;"Y"),"",COUNTIFS($C$5:$C$19,"Y",$E$5:$E$19,"&lt;"&amp;E17)+1)</f>
        <v/>
      </c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15" t="str">
        <f aca="false">IF($A18="","",SUM(F18:J18))</f>
        <v/>
      </c>
      <c r="L18" s="15" t="str">
        <f aca="false">IF($A18="","",IF(K18&gt;0,1,0))</f>
        <v/>
      </c>
      <c r="M18" s="30" t="str">
        <f aca="false">IF($A18="","",IFERROR(E18/SUMIF($C$5:$C$19,"Y",$E$5:$E$19),""))</f>
        <v/>
      </c>
      <c r="N18" s="15" t="str">
        <f aca="false">IF(OR($A18="",$C18&lt;&gt;"Y"),"",COUNTIFS($C$5:$C$19,"Y",$E$5:$E$19,"&lt;"&amp;E18)+1)</f>
        <v/>
      </c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15" t="str">
        <f aca="false">IF($A19="","",SUM(F19:J19))</f>
        <v/>
      </c>
      <c r="L19" s="15" t="str">
        <f aca="false">IF($A19="","",IF(K19&gt;0,1,0))</f>
        <v/>
      </c>
      <c r="M19" s="30" t="str">
        <f aca="false">IF($A19="","",IFERROR(E19/SUMIF($C$5:$C$19,"Y",$E$5:$E$19),""))</f>
        <v/>
      </c>
      <c r="N19" s="15" t="str">
        <f aca="false">IF(OR($A19="",$C19&lt;&gt;"Y"),"",COUNTIFS($C$5:$C$19,"Y",$E$5:$E$19,"&lt;"&amp;E19)+1)</f>
        <v/>
      </c>
    </row>
    <row r="21" customFormat="false" ht="15" hidden="false" customHeight="false" outlineLevel="0" collapsed="false">
      <c r="A21" s="3" t="s">
        <v>182</v>
      </c>
    </row>
    <row r="22" customFormat="false" ht="15" hidden="false" customHeight="false" outlineLevel="0" collapsed="false">
      <c r="A22" s="6" t="s">
        <v>211</v>
      </c>
      <c r="B22" s="15" t="n">
        <f aca="false">COUNTIF(C5:C19,"Y")</f>
        <v>8</v>
      </c>
    </row>
    <row r="23" customFormat="false" ht="15" hidden="false" customHeight="false" outlineLevel="0" collapsed="false">
      <c r="A23" s="6" t="s">
        <v>212</v>
      </c>
      <c r="B23" s="30" t="n">
        <f aca="false">IFERROR(B22/Meeting!$B$11,"")</f>
        <v>0.8</v>
      </c>
      <c r="C23" s="2" t="s">
        <v>213</v>
      </c>
    </row>
    <row r="24" customFormat="false" ht="15" hidden="false" customHeight="false" outlineLevel="0" collapsed="false">
      <c r="A24" s="6" t="s">
        <v>214</v>
      </c>
      <c r="B24" s="30" t="n">
        <f aca="false">IFERROR(AVERAGEIF(C5:C19,"Y",D5:D19)/Meeting!$B$20,"")</f>
        <v>0.938492063492063</v>
      </c>
    </row>
    <row r="25" customFormat="false" ht="15" hidden="false" customHeight="false" outlineLevel="0" collapsed="false">
      <c r="A25" s="6" t="s">
        <v>61</v>
      </c>
      <c r="B25" s="30" t="n">
        <f aca="false">IFERROR(SUM(L5:L19)/B22,"")</f>
        <v>0.875</v>
      </c>
    </row>
    <row r="26" customFormat="false" ht="15" hidden="false" customHeight="false" outlineLevel="0" collapsed="false">
      <c r="A26" s="6" t="s">
        <v>215</v>
      </c>
      <c r="B26" s="31" t="n">
        <f aca="false">IFERROR((2*SUMPRODUCT(($C$5:$C$19="Y")*N($N$5:$N$19)*$E$5:$E$19))/(B22*SUMIF(C5:C19,"Y",E5:E19))-(B22+1)/B22,"")</f>
        <v>0.384615384615385</v>
      </c>
    </row>
    <row r="27" customFormat="false" ht="15" hidden="false" customHeight="false" outlineLevel="0" collapsed="false">
      <c r="A27" s="6" t="s">
        <v>216</v>
      </c>
      <c r="B27" s="30" t="n">
        <f aca="false">IFERROR(MAX(0,MIN(1,1-B26)),"")</f>
        <v>0.615384615384615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13"/>
  </cols>
  <sheetData>
    <row r="1" customFormat="false" ht="19.7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23.85" hidden="false" customHeight="false" outlineLevel="0" collapsed="false">
      <c r="A4" s="12" t="s">
        <v>205</v>
      </c>
      <c r="B4" s="12" t="s">
        <v>160</v>
      </c>
      <c r="C4" s="12" t="s">
        <v>162</v>
      </c>
      <c r="D4" s="12" t="s">
        <v>219</v>
      </c>
      <c r="E4" s="12" t="s">
        <v>220</v>
      </c>
      <c r="F4" s="12" t="s">
        <v>221</v>
      </c>
      <c r="G4" s="12" t="s">
        <v>222</v>
      </c>
      <c r="H4" s="12" t="s">
        <v>223</v>
      </c>
      <c r="I4" s="12" t="s">
        <v>224</v>
      </c>
      <c r="J4" s="12" t="s">
        <v>52</v>
      </c>
      <c r="K4" s="12" t="s">
        <v>225</v>
      </c>
      <c r="L4" s="12" t="s">
        <v>114</v>
      </c>
      <c r="M4" s="12" t="s">
        <v>226</v>
      </c>
      <c r="N4" s="12" t="s">
        <v>227</v>
      </c>
      <c r="O4" s="12" t="s">
        <v>57</v>
      </c>
    </row>
    <row r="5" customFormat="false" ht="15" hidden="false" customHeight="false" outlineLevel="0" collapsed="false">
      <c r="A5" s="27" t="s">
        <v>175</v>
      </c>
      <c r="B5" s="24" t="n">
        <v>15</v>
      </c>
      <c r="C5" s="24" t="n">
        <v>15</v>
      </c>
      <c r="D5" s="24" t="n">
        <v>2250</v>
      </c>
      <c r="E5" s="24" t="n">
        <v>30</v>
      </c>
      <c r="F5" s="24" t="n">
        <v>5</v>
      </c>
      <c r="G5" s="24" t="n">
        <v>5</v>
      </c>
      <c r="H5" s="24" t="n">
        <v>8</v>
      </c>
      <c r="I5" s="24" t="n">
        <v>6</v>
      </c>
      <c r="J5" s="30" t="n">
        <f aca="false">IF($A5="","",IF(B5=0,"",MAX(0,1-ABS(C5-B5)/B5)))</f>
        <v>1</v>
      </c>
      <c r="K5" s="15" t="n">
        <f aca="false">IF($A5="","",IFERROR(D5/C5,""))</f>
        <v>150</v>
      </c>
      <c r="L5" s="19" t="n">
        <f aca="false">IF($A5="","",IFERROR(MAX(0,130-K5,K5-170),""))</f>
        <v>0</v>
      </c>
      <c r="M5" s="19" t="n">
        <f aca="false">IF($A5="","",IFERROR(E5/D5*100,""))</f>
        <v>1.33333333333333</v>
      </c>
      <c r="N5" s="30" t="n">
        <f aca="false">IF($A5="","",IF(F5=0,"",G5/F5))</f>
        <v>1</v>
      </c>
      <c r="O5" s="30" t="n">
        <f aca="false">IF($A5="","",IFERROR(I5/C5,""))</f>
        <v>0.4</v>
      </c>
    </row>
    <row r="6" customFormat="false" ht="15" hidden="false" customHeight="false" outlineLevel="0" collapsed="false">
      <c r="A6" s="27" t="s">
        <v>177</v>
      </c>
      <c r="B6" s="24" t="n">
        <v>10</v>
      </c>
      <c r="C6" s="24" t="n">
        <v>9</v>
      </c>
      <c r="D6" s="24" t="n">
        <v>1710</v>
      </c>
      <c r="E6" s="24" t="n">
        <v>60</v>
      </c>
      <c r="F6" s="24" t="n">
        <v>4</v>
      </c>
      <c r="G6" s="24" t="n">
        <v>3</v>
      </c>
      <c r="H6" s="24" t="n">
        <v>15</v>
      </c>
      <c r="I6" s="24" t="n">
        <v>5</v>
      </c>
      <c r="J6" s="30" t="n">
        <f aca="false">IF($A6="","",IF(B6=0,"",MAX(0,1-ABS(C6-B6)/B6)))</f>
        <v>0.9</v>
      </c>
      <c r="K6" s="15" t="n">
        <f aca="false">IF($A6="","",IFERROR(D6/C6,""))</f>
        <v>190</v>
      </c>
      <c r="L6" s="19" t="n">
        <f aca="false">IF($A6="","",IFERROR(MAX(0,130-K6,K6-170),""))</f>
        <v>20</v>
      </c>
      <c r="M6" s="19" t="n">
        <f aca="false">IF($A6="","",IFERROR(E6/D6*100,""))</f>
        <v>3.50877192982456</v>
      </c>
      <c r="N6" s="30" t="n">
        <f aca="false">IF($A6="","",IF(F6=0,"",G6/F6))</f>
        <v>0.75</v>
      </c>
      <c r="O6" s="30" t="n">
        <f aca="false">IF($A6="","",IFERROR(I6/C6,""))</f>
        <v>0.555555555555556</v>
      </c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  <c r="G7" s="27"/>
      <c r="H7" s="27"/>
      <c r="I7" s="27"/>
      <c r="J7" s="30" t="str">
        <f aca="false">IF($A7="","",IF(B7=0,"",MAX(0,1-ABS(C7-B7)/B7)))</f>
        <v/>
      </c>
      <c r="K7" s="15" t="str">
        <f aca="false">IF($A7="","",IFERROR(D7/C7,""))</f>
        <v/>
      </c>
      <c r="L7" s="19" t="str">
        <f aca="false">IF($A7="","",IFERROR(MAX(0,130-K7,K7-170),""))</f>
        <v/>
      </c>
      <c r="M7" s="19" t="str">
        <f aca="false">IF($A7="","",IFERROR(E7/D7*100,""))</f>
        <v/>
      </c>
      <c r="N7" s="30" t="str">
        <f aca="false">IF($A7="","",IF(F7=0,"",G7/F7))</f>
        <v/>
      </c>
      <c r="O7" s="30" t="str">
        <f aca="false">IF($A7="","",IFERROR(I7/C7,""))</f>
        <v/>
      </c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7"/>
      <c r="J8" s="30" t="str">
        <f aca="false">IF($A8="","",IF(B8=0,"",MAX(0,1-ABS(C8-B8)/B8)))</f>
        <v/>
      </c>
      <c r="K8" s="15" t="str">
        <f aca="false">IF($A8="","",IFERROR(D8/C8,""))</f>
        <v/>
      </c>
      <c r="L8" s="19" t="str">
        <f aca="false">IF($A8="","",IFERROR(MAX(0,130-K8,K8-170),""))</f>
        <v/>
      </c>
      <c r="M8" s="19" t="str">
        <f aca="false">IF($A8="","",IFERROR(E8/D8*100,""))</f>
        <v/>
      </c>
      <c r="N8" s="30" t="str">
        <f aca="false">IF($A8="","",IF(F8=0,"",G8/F8))</f>
        <v/>
      </c>
      <c r="O8" s="30" t="str">
        <f aca="false">IF($A8="","",IFERROR(I8/C8,""))</f>
        <v/>
      </c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27"/>
      <c r="I9" s="27"/>
      <c r="J9" s="30" t="str">
        <f aca="false">IF($A9="","",IF(B9=0,"",MAX(0,1-ABS(C9-B9)/B9)))</f>
        <v/>
      </c>
      <c r="K9" s="15" t="str">
        <f aca="false">IF($A9="","",IFERROR(D9/C9,""))</f>
        <v/>
      </c>
      <c r="L9" s="19" t="str">
        <f aca="false">IF($A9="","",IFERROR(MAX(0,130-K9,K9-170),""))</f>
        <v/>
      </c>
      <c r="M9" s="19" t="str">
        <f aca="false">IF($A9="","",IFERROR(E9/D9*100,""))</f>
        <v/>
      </c>
      <c r="N9" s="30" t="str">
        <f aca="false">IF($A9="","",IF(F9=0,"",G9/F9))</f>
        <v/>
      </c>
      <c r="O9" s="30" t="str">
        <f aca="false">IF($A9="","",IFERROR(I9/C9,""))</f>
        <v/>
      </c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7"/>
      <c r="J10" s="30" t="str">
        <f aca="false">IF($A10="","",IF(B10=0,"",MAX(0,1-ABS(C10-B10)/B10)))</f>
        <v/>
      </c>
      <c r="K10" s="15" t="str">
        <f aca="false">IF($A10="","",IFERROR(D10/C10,""))</f>
        <v/>
      </c>
      <c r="L10" s="19" t="str">
        <f aca="false">IF($A10="","",IFERROR(MAX(0,130-K10,K10-170),""))</f>
        <v/>
      </c>
      <c r="M10" s="19" t="str">
        <f aca="false">IF($A10="","",IFERROR(E10/D10*100,""))</f>
        <v/>
      </c>
      <c r="N10" s="30" t="str">
        <f aca="false">IF($A10="","",IF(F10=0,"",G10/F10))</f>
        <v/>
      </c>
      <c r="O10" s="30" t="str">
        <f aca="false">IF($A10="","",IFERROR(I10/C10,""))</f>
        <v/>
      </c>
    </row>
    <row r="12" customFormat="false" ht="15" hidden="false" customHeight="false" outlineLevel="0" collapsed="false">
      <c r="A12" s="3" t="s">
        <v>228</v>
      </c>
    </row>
    <row r="13" customFormat="false" ht="15" hidden="false" customHeight="false" outlineLevel="0" collapsed="false">
      <c r="A13" s="6" t="s">
        <v>229</v>
      </c>
      <c r="B13" s="30" t="n">
        <f aca="false">IFERROR(AVERAGE(J5:J10),"")</f>
        <v>0.95</v>
      </c>
    </row>
    <row r="14" customFormat="false" ht="15" hidden="false" customHeight="false" outlineLevel="0" collapsed="false">
      <c r="A14" s="6" t="s">
        <v>230</v>
      </c>
      <c r="B14" s="19" t="n">
        <f aca="false">IFERROR(AVERAGE(L5:L10),"")</f>
        <v>10</v>
      </c>
    </row>
    <row r="15" customFormat="false" ht="15" hidden="false" customHeight="false" outlineLevel="0" collapsed="false">
      <c r="A15" s="6" t="s">
        <v>231</v>
      </c>
      <c r="B15" s="19" t="n">
        <f aca="false">IFERROR(AVERAGE(M5:M10),"")</f>
        <v>2.42105263157895</v>
      </c>
    </row>
    <row r="16" customFormat="false" ht="15" hidden="false" customHeight="false" outlineLevel="0" collapsed="false">
      <c r="A16" s="6" t="s">
        <v>232</v>
      </c>
      <c r="B16" s="30" t="n">
        <f aca="false">IFERROR(AVERAGE(N5:N10),"")</f>
        <v>0.875</v>
      </c>
    </row>
    <row r="17" customFormat="false" ht="15" hidden="false" customHeight="false" outlineLevel="0" collapsed="false">
      <c r="A17" s="6" t="s">
        <v>233</v>
      </c>
      <c r="B17" s="19" t="n">
        <f aca="false">IFERROR(AVERAGE(H5:H10),"")</f>
        <v>11.5</v>
      </c>
    </row>
    <row r="18" customFormat="false" ht="15" hidden="false" customHeight="false" outlineLevel="0" collapsed="false">
      <c r="A18" s="6" t="s">
        <v>234</v>
      </c>
      <c r="B18" s="30" t="n">
        <f aca="false">IFERROR(AVERAGE(O5:O10),"")</f>
        <v>0.477777777777778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4" customFormat="false" ht="15" hidden="false" customHeight="false" outlineLevel="0" collapsed="false">
      <c r="A4" s="3" t="s">
        <v>237</v>
      </c>
    </row>
    <row r="5" customFormat="false" ht="15" hidden="false" customHeight="false" outlineLevel="0" collapsed="false">
      <c r="A5" s="6" t="s">
        <v>238</v>
      </c>
      <c r="B5" s="24" t="n">
        <v>12</v>
      </c>
    </row>
    <row r="6" customFormat="false" ht="15" hidden="false" customHeight="false" outlineLevel="0" collapsed="false">
      <c r="A6" s="6" t="s">
        <v>239</v>
      </c>
      <c r="B6" s="24" t="n">
        <v>10</v>
      </c>
    </row>
    <row r="7" customFormat="false" ht="15" hidden="false" customHeight="false" outlineLevel="0" collapsed="false">
      <c r="A7" s="6" t="s">
        <v>240</v>
      </c>
      <c r="B7" s="24" t="n">
        <v>1</v>
      </c>
    </row>
    <row r="8" customFormat="false" ht="15" hidden="false" customHeight="false" outlineLevel="0" collapsed="false">
      <c r="A8" s="6" t="s">
        <v>241</v>
      </c>
      <c r="B8" s="15" t="n">
        <f aca="false">MAX(0,B5-B6-B7)</f>
        <v>1</v>
      </c>
    </row>
    <row r="9" customFormat="false" ht="15" hidden="false" customHeight="false" outlineLevel="0" collapsed="false">
      <c r="A9" s="6" t="s">
        <v>65</v>
      </c>
      <c r="B9" s="30" t="n">
        <f aca="false">IF(B5=0,"",B6/B5)</f>
        <v>0.833333333333333</v>
      </c>
    </row>
    <row r="10" customFormat="false" ht="15" hidden="false" customHeight="false" outlineLevel="0" collapsed="false">
      <c r="A10" s="6" t="s">
        <v>66</v>
      </c>
      <c r="B10" s="24" t="n">
        <v>6</v>
      </c>
    </row>
    <row r="11" customFormat="false" ht="15" hidden="false" customHeight="false" outlineLevel="0" collapsed="false">
      <c r="A11" s="6" t="s">
        <v>242</v>
      </c>
      <c r="B11" s="24" t="n">
        <v>5</v>
      </c>
    </row>
    <row r="12" customFormat="false" ht="15" hidden="false" customHeight="false" outlineLevel="0" collapsed="false">
      <c r="A12" s="6" t="s">
        <v>67</v>
      </c>
      <c r="B12" s="32" t="n">
        <f aca="false">IFERROR(B11/Participants!B22,"")</f>
        <v>0.625</v>
      </c>
      <c r="C12" s="2" t="s">
        <v>243</v>
      </c>
    </row>
    <row r="13" customFormat="false" ht="15" hidden="false" customHeight="false" outlineLevel="0" collapsed="false">
      <c r="A13" s="6" t="s">
        <v>244</v>
      </c>
      <c r="B13" s="29" t="n">
        <v>1.5</v>
      </c>
    </row>
    <row r="14" customFormat="false" ht="15" hidden="false" customHeight="false" outlineLevel="0" collapsed="false">
      <c r="A14" s="6" t="s">
        <v>245</v>
      </c>
      <c r="B14" s="29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15" hidden="false" customHeight="false" outlineLevel="0" collapsed="false">
      <c r="A4" s="3" t="s">
        <v>248</v>
      </c>
    </row>
    <row r="5" customFormat="false" ht="15" hidden="false" customHeight="false" outlineLevel="0" collapsed="false">
      <c r="A5" s="6" t="s">
        <v>249</v>
      </c>
      <c r="B5" s="24" t="n">
        <v>7</v>
      </c>
    </row>
    <row r="6" customFormat="false" ht="15" hidden="false" customHeight="false" outlineLevel="0" collapsed="false">
      <c r="A6" s="6" t="s">
        <v>250</v>
      </c>
      <c r="B6" s="24" t="n">
        <v>5</v>
      </c>
    </row>
    <row r="7" customFormat="false" ht="15" hidden="false" customHeight="false" outlineLevel="0" collapsed="false">
      <c r="A7" s="6" t="s">
        <v>71</v>
      </c>
      <c r="B7" s="30" t="n">
        <f aca="false">IF(B5=0,"",B6/B5)</f>
        <v>0.714285714285714</v>
      </c>
    </row>
    <row r="9" customFormat="false" ht="15" hidden="false" customHeight="false" outlineLevel="0" collapsed="false">
      <c r="A9" s="3" t="s">
        <v>251</v>
      </c>
    </row>
    <row r="10" customFormat="false" ht="15" hidden="false" customHeight="false" outlineLevel="0" collapsed="false">
      <c r="A10" s="6" t="s">
        <v>252</v>
      </c>
      <c r="B10" s="24" t="n">
        <v>9</v>
      </c>
    </row>
    <row r="11" customFormat="false" ht="15" hidden="false" customHeight="false" outlineLevel="0" collapsed="false">
      <c r="A11" s="6" t="s">
        <v>253</v>
      </c>
      <c r="B11" s="24" t="n">
        <v>8</v>
      </c>
    </row>
    <row r="12" customFormat="false" ht="15" hidden="false" customHeight="false" outlineLevel="0" collapsed="false">
      <c r="A12" s="6" t="s">
        <v>254</v>
      </c>
      <c r="B12" s="24" t="n">
        <v>7</v>
      </c>
    </row>
    <row r="13" customFormat="false" ht="15" hidden="false" customHeight="false" outlineLevel="0" collapsed="false">
      <c r="A13" s="6" t="s">
        <v>255</v>
      </c>
      <c r="B13" s="30" t="n">
        <f aca="false">IFERROR(B12/B11,"")</f>
        <v>0.875</v>
      </c>
    </row>
    <row r="14" customFormat="false" ht="15" hidden="false" customHeight="false" outlineLevel="0" collapsed="false">
      <c r="A14" s="6" t="s">
        <v>256</v>
      </c>
      <c r="B14" s="30" t="n">
        <f aca="false">IFERROR(B12/B10,"")</f>
        <v>0.777777777777778</v>
      </c>
    </row>
    <row r="15" customFormat="false" ht="15" hidden="false" customHeight="false" outlineLevel="0" collapsed="false">
      <c r="A15" s="6" t="s">
        <v>257</v>
      </c>
      <c r="B15" s="30" t="n">
        <f aca="false">IFERROR(AVERAGE(B13:B14),"")</f>
        <v>0.826388888888889</v>
      </c>
    </row>
    <row r="17" customFormat="false" ht="15" hidden="false" customHeight="false" outlineLevel="0" collapsed="false">
      <c r="A17" s="3" t="s">
        <v>258</v>
      </c>
    </row>
    <row r="18" customFormat="false" ht="15" hidden="false" customHeight="false" outlineLevel="0" collapsed="false">
      <c r="A18" s="6" t="s">
        <v>259</v>
      </c>
      <c r="B18" s="24" t="n">
        <v>6</v>
      </c>
    </row>
    <row r="19" customFormat="false" ht="15" hidden="false" customHeight="false" outlineLevel="0" collapsed="false">
      <c r="A19" s="6" t="s">
        <v>260</v>
      </c>
      <c r="B19" s="24" t="n">
        <v>4</v>
      </c>
    </row>
    <row r="20" customFormat="false" ht="15" hidden="false" customHeight="false" outlineLevel="0" collapsed="false">
      <c r="A20" s="6" t="s">
        <v>261</v>
      </c>
      <c r="B20" s="30" t="n">
        <f aca="false">IF(B18=0,"",B19/B18)</f>
        <v>0.666666666666667</v>
      </c>
    </row>
    <row r="21" customFormat="false" ht="15" hidden="false" customHeight="false" outlineLevel="0" collapsed="false">
      <c r="A21" s="6" t="s">
        <v>262</v>
      </c>
      <c r="B21" s="24" t="n">
        <v>3</v>
      </c>
    </row>
    <row r="22" customFormat="false" ht="15" hidden="false" customHeight="false" outlineLevel="0" collapsed="false">
      <c r="A22" s="6" t="s">
        <v>263</v>
      </c>
      <c r="B22" s="24" t="n">
        <v>1</v>
      </c>
    </row>
    <row r="23" customFormat="false" ht="15" hidden="false" customHeight="false" outlineLevel="0" collapsed="false">
      <c r="A23" s="6" t="s">
        <v>264</v>
      </c>
      <c r="B23" s="30" t="n">
        <f aca="false">IF(B21=0,"",B22/B21)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2026-08-13T12:03:42Z</dcterms:created>
  <dc:creator>openpyxl</dc:creator>
  <dc:description/>
  <dc:language>en-US</dc:language>
  <cp:lastModifiedBy/>
  <dcterms:modified xsi:type="dcterms:W3CDTF">2026-08-13T12:03:46Z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